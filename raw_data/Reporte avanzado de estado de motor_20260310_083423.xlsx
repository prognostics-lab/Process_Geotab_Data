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Windows\SystemTemp\"/>
    </mc:Choice>
  </mc:AlternateContent>
  <xr:revisionPtr revIDLastSave="0" documentId="13_ncr:1_{ED8F22D6-5730-4365-A69D-74E675805E06}" xr6:coauthVersionLast="47" xr6:coauthVersionMax="47" xr10:uidLastSave="{00000000-0000-0000-0000-000000000000}"/>
  <bookViews>
    <workbookView xWindow="-60" yWindow="-60" windowWidth="15480" windowHeight="11640" firstSheet="1" activeTab="1" xr2:uid="{00000000-000D-0000-FFFF-FFFF00000000}"/>
  </bookViews>
  <sheets>
    <sheet name="Data" sheetId="1" state="hidden" r:id="rId1"/>
    <sheet name="Report" sheetId="2" r:id="rId2"/>
    <sheet name="Summary" sheetId="3" r:id="rId3"/>
    <sheet name="Languages" sheetId="4" state="hidden" r:id="rId4"/>
  </sheets>
  <definedNames>
    <definedName name="_xlnm._FilterDatabase" localSheetId="1" hidden="1">Report!$A$11:$G$11</definedName>
    <definedName name="AllData">Report!$A$11:$G$563</definedName>
  </definedNames>
  <calcPr calcId="191029"/>
  <pivotCaches>
    <pivotCache cacheId="2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3" l="1"/>
  <c r="B6" i="3"/>
  <c r="B7" i="3" s="1"/>
  <c r="B5" i="3"/>
  <c r="A2" i="3"/>
  <c r="C1" i="3"/>
  <c r="G563" i="2"/>
  <c r="F563" i="2"/>
  <c r="E563" i="2"/>
  <c r="D563" i="2"/>
  <c r="C563" i="2"/>
  <c r="B563" i="2"/>
  <c r="A563" i="2"/>
  <c r="G562" i="2"/>
  <c r="F562" i="2"/>
  <c r="E562" i="2"/>
  <c r="D562" i="2"/>
  <c r="C562" i="2"/>
  <c r="B562" i="2"/>
  <c r="A562" i="2"/>
  <c r="G561" i="2"/>
  <c r="F561" i="2"/>
  <c r="E561" i="2"/>
  <c r="D561" i="2"/>
  <c r="C561" i="2"/>
  <c r="B561" i="2"/>
  <c r="A561" i="2"/>
  <c r="G560" i="2"/>
  <c r="F560" i="2"/>
  <c r="E560" i="2"/>
  <c r="D560" i="2"/>
  <c r="C560" i="2"/>
  <c r="B560" i="2"/>
  <c r="A560" i="2"/>
  <c r="G559" i="2"/>
  <c r="F559" i="2"/>
  <c r="E559" i="2"/>
  <c r="D559" i="2"/>
  <c r="C559" i="2"/>
  <c r="B559" i="2"/>
  <c r="A559" i="2"/>
  <c r="G558" i="2"/>
  <c r="F558" i="2"/>
  <c r="E558" i="2"/>
  <c r="D558" i="2"/>
  <c r="C558" i="2"/>
  <c r="B558" i="2"/>
  <c r="A558" i="2"/>
  <c r="G557" i="2"/>
  <c r="F557" i="2"/>
  <c r="E557" i="2"/>
  <c r="D557" i="2"/>
  <c r="C557" i="2"/>
  <c r="B557" i="2"/>
  <c r="A557" i="2"/>
  <c r="G556" i="2"/>
  <c r="F556" i="2"/>
  <c r="E556" i="2"/>
  <c r="D556" i="2"/>
  <c r="C556" i="2"/>
  <c r="B556" i="2"/>
  <c r="A556" i="2"/>
  <c r="G555" i="2"/>
  <c r="F555" i="2"/>
  <c r="E555" i="2"/>
  <c r="D555" i="2"/>
  <c r="C555" i="2"/>
  <c r="B555" i="2"/>
  <c r="A555" i="2"/>
  <c r="G554" i="2"/>
  <c r="F554" i="2"/>
  <c r="E554" i="2"/>
  <c r="D554" i="2"/>
  <c r="C554" i="2"/>
  <c r="B554" i="2"/>
  <c r="A554" i="2"/>
  <c r="G553" i="2"/>
  <c r="F553" i="2"/>
  <c r="E553" i="2"/>
  <c r="D553" i="2"/>
  <c r="C553" i="2"/>
  <c r="B553" i="2"/>
  <c r="A553" i="2"/>
  <c r="G552" i="2"/>
  <c r="F552" i="2"/>
  <c r="E552" i="2"/>
  <c r="D552" i="2"/>
  <c r="C552" i="2"/>
  <c r="B552" i="2"/>
  <c r="A552" i="2"/>
  <c r="G551" i="2"/>
  <c r="F551" i="2"/>
  <c r="E551" i="2"/>
  <c r="D551" i="2"/>
  <c r="C551" i="2"/>
  <c r="B551" i="2"/>
  <c r="A551" i="2"/>
  <c r="G550" i="2"/>
  <c r="F550" i="2"/>
  <c r="E550" i="2"/>
  <c r="D550" i="2"/>
  <c r="C550" i="2"/>
  <c r="B550" i="2"/>
  <c r="A550" i="2"/>
  <c r="G549" i="2"/>
  <c r="F549" i="2"/>
  <c r="E549" i="2"/>
  <c r="D549" i="2"/>
  <c r="C549" i="2"/>
  <c r="B549" i="2"/>
  <c r="A549" i="2"/>
  <c r="G548" i="2"/>
  <c r="F548" i="2"/>
  <c r="E548" i="2"/>
  <c r="D548" i="2"/>
  <c r="C548" i="2"/>
  <c r="B548" i="2"/>
  <c r="A548" i="2"/>
  <c r="G547" i="2"/>
  <c r="F547" i="2"/>
  <c r="E547" i="2"/>
  <c r="D547" i="2"/>
  <c r="C547" i="2"/>
  <c r="B547" i="2"/>
  <c r="A547" i="2"/>
  <c r="G546" i="2"/>
  <c r="F546" i="2"/>
  <c r="E546" i="2"/>
  <c r="D546" i="2"/>
  <c r="C546" i="2"/>
  <c r="B546" i="2"/>
  <c r="A546" i="2"/>
  <c r="G545" i="2"/>
  <c r="F545" i="2"/>
  <c r="E545" i="2"/>
  <c r="D545" i="2"/>
  <c r="C545" i="2"/>
  <c r="B545" i="2"/>
  <c r="A545" i="2"/>
  <c r="G544" i="2"/>
  <c r="F544" i="2"/>
  <c r="E544" i="2"/>
  <c r="D544" i="2"/>
  <c r="C544" i="2"/>
  <c r="B544" i="2"/>
  <c r="A544" i="2"/>
  <c r="G543" i="2"/>
  <c r="F543" i="2"/>
  <c r="E543" i="2"/>
  <c r="D543" i="2"/>
  <c r="C543" i="2"/>
  <c r="B543" i="2"/>
  <c r="A543" i="2"/>
  <c r="G542" i="2"/>
  <c r="F542" i="2"/>
  <c r="E542" i="2"/>
  <c r="D542" i="2"/>
  <c r="C542" i="2"/>
  <c r="B542" i="2"/>
  <c r="A542" i="2"/>
  <c r="G541" i="2"/>
  <c r="F541" i="2"/>
  <c r="E541" i="2"/>
  <c r="D541" i="2"/>
  <c r="C541" i="2"/>
  <c r="B541" i="2"/>
  <c r="A541" i="2"/>
  <c r="G540" i="2"/>
  <c r="F540" i="2"/>
  <c r="E540" i="2"/>
  <c r="D540" i="2"/>
  <c r="C540" i="2"/>
  <c r="B540" i="2"/>
  <c r="A540" i="2"/>
  <c r="G539" i="2"/>
  <c r="F539" i="2"/>
  <c r="E539" i="2"/>
  <c r="D539" i="2"/>
  <c r="C539" i="2"/>
  <c r="B539" i="2"/>
  <c r="A539" i="2"/>
  <c r="G538" i="2"/>
  <c r="F538" i="2"/>
  <c r="E538" i="2"/>
  <c r="D538" i="2"/>
  <c r="C538" i="2"/>
  <c r="B538" i="2"/>
  <c r="A538" i="2"/>
  <c r="G537" i="2"/>
  <c r="F537" i="2"/>
  <c r="E537" i="2"/>
  <c r="D537" i="2"/>
  <c r="C537" i="2"/>
  <c r="B537" i="2"/>
  <c r="A537" i="2"/>
  <c r="G536" i="2"/>
  <c r="F536" i="2"/>
  <c r="E536" i="2"/>
  <c r="D536" i="2"/>
  <c r="C536" i="2"/>
  <c r="B536" i="2"/>
  <c r="A536" i="2"/>
  <c r="G535" i="2"/>
  <c r="F535" i="2"/>
  <c r="E535" i="2"/>
  <c r="D535" i="2"/>
  <c r="C535" i="2"/>
  <c r="B535" i="2"/>
  <c r="A535" i="2"/>
  <c r="G534" i="2"/>
  <c r="F534" i="2"/>
  <c r="E534" i="2"/>
  <c r="D534" i="2"/>
  <c r="C534" i="2"/>
  <c r="B534" i="2"/>
  <c r="A534" i="2"/>
  <c r="G533" i="2"/>
  <c r="F533" i="2"/>
  <c r="E533" i="2"/>
  <c r="D533" i="2"/>
  <c r="C533" i="2"/>
  <c r="B533" i="2"/>
  <c r="A533" i="2"/>
  <c r="G532" i="2"/>
  <c r="F532" i="2"/>
  <c r="E532" i="2"/>
  <c r="D532" i="2"/>
  <c r="C532" i="2"/>
  <c r="B532" i="2"/>
  <c r="A532" i="2"/>
  <c r="G531" i="2"/>
  <c r="F531" i="2"/>
  <c r="E531" i="2"/>
  <c r="D531" i="2"/>
  <c r="C531" i="2"/>
  <c r="B531" i="2"/>
  <c r="A531" i="2"/>
  <c r="G530" i="2"/>
  <c r="F530" i="2"/>
  <c r="E530" i="2"/>
  <c r="D530" i="2"/>
  <c r="C530" i="2"/>
  <c r="B530" i="2"/>
  <c r="A530" i="2"/>
  <c r="G529" i="2"/>
  <c r="F529" i="2"/>
  <c r="E529" i="2"/>
  <c r="D529" i="2"/>
  <c r="C529" i="2"/>
  <c r="B529" i="2"/>
  <c r="A529" i="2"/>
  <c r="G528" i="2"/>
  <c r="F528" i="2"/>
  <c r="E528" i="2"/>
  <c r="D528" i="2"/>
  <c r="C528" i="2"/>
  <c r="B528" i="2"/>
  <c r="A528" i="2"/>
  <c r="G527" i="2"/>
  <c r="F527" i="2"/>
  <c r="E527" i="2"/>
  <c r="D527" i="2"/>
  <c r="C527" i="2"/>
  <c r="B527" i="2"/>
  <c r="A527" i="2"/>
  <c r="G526" i="2"/>
  <c r="F526" i="2"/>
  <c r="E526" i="2"/>
  <c r="D526" i="2"/>
  <c r="C526" i="2"/>
  <c r="B526" i="2"/>
  <c r="A526" i="2"/>
  <c r="G525" i="2"/>
  <c r="F525" i="2"/>
  <c r="E525" i="2"/>
  <c r="D525" i="2"/>
  <c r="C525" i="2"/>
  <c r="B525" i="2"/>
  <c r="A525" i="2"/>
  <c r="G524" i="2"/>
  <c r="F524" i="2"/>
  <c r="E524" i="2"/>
  <c r="D524" i="2"/>
  <c r="C524" i="2"/>
  <c r="B524" i="2"/>
  <c r="A524" i="2"/>
  <c r="G523" i="2"/>
  <c r="F523" i="2"/>
  <c r="E523" i="2"/>
  <c r="D523" i="2"/>
  <c r="C523" i="2"/>
  <c r="B523" i="2"/>
  <c r="A523" i="2"/>
  <c r="G522" i="2"/>
  <c r="F522" i="2"/>
  <c r="E522" i="2"/>
  <c r="D522" i="2"/>
  <c r="C522" i="2"/>
  <c r="B522" i="2"/>
  <c r="A522" i="2"/>
  <c r="G521" i="2"/>
  <c r="F521" i="2"/>
  <c r="E521" i="2"/>
  <c r="D521" i="2"/>
  <c r="C521" i="2"/>
  <c r="B521" i="2"/>
  <c r="A521" i="2"/>
  <c r="G520" i="2"/>
  <c r="F520" i="2"/>
  <c r="E520" i="2"/>
  <c r="D520" i="2"/>
  <c r="C520" i="2"/>
  <c r="B520" i="2"/>
  <c r="A520" i="2"/>
  <c r="G519" i="2"/>
  <c r="F519" i="2"/>
  <c r="E519" i="2"/>
  <c r="D519" i="2"/>
  <c r="C519" i="2"/>
  <c r="B519" i="2"/>
  <c r="A519" i="2"/>
  <c r="G518" i="2"/>
  <c r="F518" i="2"/>
  <c r="E518" i="2"/>
  <c r="D518" i="2"/>
  <c r="C518" i="2"/>
  <c r="B518" i="2"/>
  <c r="A518" i="2"/>
  <c r="G517" i="2"/>
  <c r="F517" i="2"/>
  <c r="E517" i="2"/>
  <c r="D517" i="2"/>
  <c r="C517" i="2"/>
  <c r="B517" i="2"/>
  <c r="A517" i="2"/>
  <c r="G516" i="2"/>
  <c r="F516" i="2"/>
  <c r="E516" i="2"/>
  <c r="D516" i="2"/>
  <c r="C516" i="2"/>
  <c r="B516" i="2"/>
  <c r="A516" i="2"/>
  <c r="G515" i="2"/>
  <c r="F515" i="2"/>
  <c r="E515" i="2"/>
  <c r="D515" i="2"/>
  <c r="C515" i="2"/>
  <c r="B515" i="2"/>
  <c r="A515" i="2"/>
  <c r="G514" i="2"/>
  <c r="F514" i="2"/>
  <c r="E514" i="2"/>
  <c r="D514" i="2"/>
  <c r="C514" i="2"/>
  <c r="B514" i="2"/>
  <c r="A514" i="2"/>
  <c r="G513" i="2"/>
  <c r="F513" i="2"/>
  <c r="E513" i="2"/>
  <c r="D513" i="2"/>
  <c r="C513" i="2"/>
  <c r="B513" i="2"/>
  <c r="A513" i="2"/>
  <c r="G512" i="2"/>
  <c r="F512" i="2"/>
  <c r="E512" i="2"/>
  <c r="D512" i="2"/>
  <c r="C512" i="2"/>
  <c r="B512" i="2"/>
  <c r="A512" i="2"/>
  <c r="G511" i="2"/>
  <c r="F511" i="2"/>
  <c r="E511" i="2"/>
  <c r="D511" i="2"/>
  <c r="C511" i="2"/>
  <c r="B511" i="2"/>
  <c r="A511" i="2"/>
  <c r="G510" i="2"/>
  <c r="F510" i="2"/>
  <c r="E510" i="2"/>
  <c r="D510" i="2"/>
  <c r="C510" i="2"/>
  <c r="B510" i="2"/>
  <c r="A510" i="2"/>
  <c r="G509" i="2"/>
  <c r="F509" i="2"/>
  <c r="E509" i="2"/>
  <c r="D509" i="2"/>
  <c r="C509" i="2"/>
  <c r="B509" i="2"/>
  <c r="A509" i="2"/>
  <c r="G508" i="2"/>
  <c r="F508" i="2"/>
  <c r="E508" i="2"/>
  <c r="D508" i="2"/>
  <c r="C508" i="2"/>
  <c r="B508" i="2"/>
  <c r="A508" i="2"/>
  <c r="G507" i="2"/>
  <c r="F507" i="2"/>
  <c r="E507" i="2"/>
  <c r="D507" i="2"/>
  <c r="C507" i="2"/>
  <c r="B507" i="2"/>
  <c r="A507" i="2"/>
  <c r="G506" i="2"/>
  <c r="F506" i="2"/>
  <c r="E506" i="2"/>
  <c r="D506" i="2"/>
  <c r="C506" i="2"/>
  <c r="B506" i="2"/>
  <c r="A506" i="2"/>
  <c r="G505" i="2"/>
  <c r="F505" i="2"/>
  <c r="E505" i="2"/>
  <c r="D505" i="2"/>
  <c r="C505" i="2"/>
  <c r="B505" i="2"/>
  <c r="A505" i="2"/>
  <c r="G504" i="2"/>
  <c r="F504" i="2"/>
  <c r="E504" i="2"/>
  <c r="D504" i="2"/>
  <c r="C504" i="2"/>
  <c r="B504" i="2"/>
  <c r="A504" i="2"/>
  <c r="G503" i="2"/>
  <c r="F503" i="2"/>
  <c r="E503" i="2"/>
  <c r="D503" i="2"/>
  <c r="C503" i="2"/>
  <c r="B503" i="2"/>
  <c r="A503" i="2"/>
  <c r="G502" i="2"/>
  <c r="F502" i="2"/>
  <c r="E502" i="2"/>
  <c r="D502" i="2"/>
  <c r="C502" i="2"/>
  <c r="B502" i="2"/>
  <c r="A502" i="2"/>
  <c r="G501" i="2"/>
  <c r="F501" i="2"/>
  <c r="E501" i="2"/>
  <c r="D501" i="2"/>
  <c r="C501" i="2"/>
  <c r="B501" i="2"/>
  <c r="A501" i="2"/>
  <c r="G500" i="2"/>
  <c r="F500" i="2"/>
  <c r="E500" i="2"/>
  <c r="D500" i="2"/>
  <c r="C500" i="2"/>
  <c r="B500" i="2"/>
  <c r="A500" i="2"/>
  <c r="G499" i="2"/>
  <c r="F499" i="2"/>
  <c r="E499" i="2"/>
  <c r="D499" i="2"/>
  <c r="C499" i="2"/>
  <c r="B499" i="2"/>
  <c r="A499" i="2"/>
  <c r="G498" i="2"/>
  <c r="F498" i="2"/>
  <c r="E498" i="2"/>
  <c r="D498" i="2"/>
  <c r="C498" i="2"/>
  <c r="B498" i="2"/>
  <c r="A498" i="2"/>
  <c r="G497" i="2"/>
  <c r="F497" i="2"/>
  <c r="E497" i="2"/>
  <c r="D497" i="2"/>
  <c r="C497" i="2"/>
  <c r="B497" i="2"/>
  <c r="A497" i="2"/>
  <c r="G496" i="2"/>
  <c r="F496" i="2"/>
  <c r="E496" i="2"/>
  <c r="D496" i="2"/>
  <c r="C496" i="2"/>
  <c r="B496" i="2"/>
  <c r="A496" i="2"/>
  <c r="G495" i="2"/>
  <c r="F495" i="2"/>
  <c r="E495" i="2"/>
  <c r="D495" i="2"/>
  <c r="C495" i="2"/>
  <c r="B495" i="2"/>
  <c r="A495" i="2"/>
  <c r="G494" i="2"/>
  <c r="F494" i="2"/>
  <c r="E494" i="2"/>
  <c r="D494" i="2"/>
  <c r="C494" i="2"/>
  <c r="B494" i="2"/>
  <c r="A494" i="2"/>
  <c r="G493" i="2"/>
  <c r="F493" i="2"/>
  <c r="E493" i="2"/>
  <c r="D493" i="2"/>
  <c r="C493" i="2"/>
  <c r="B493" i="2"/>
  <c r="A493" i="2"/>
  <c r="G492" i="2"/>
  <c r="F492" i="2"/>
  <c r="E492" i="2"/>
  <c r="D492" i="2"/>
  <c r="C492" i="2"/>
  <c r="B492" i="2"/>
  <c r="A492" i="2"/>
  <c r="G491" i="2"/>
  <c r="F491" i="2"/>
  <c r="E491" i="2"/>
  <c r="D491" i="2"/>
  <c r="C491" i="2"/>
  <c r="B491" i="2"/>
  <c r="A491" i="2"/>
  <c r="G490" i="2"/>
  <c r="F490" i="2"/>
  <c r="E490" i="2"/>
  <c r="D490" i="2"/>
  <c r="C490" i="2"/>
  <c r="B490" i="2"/>
  <c r="A490" i="2"/>
  <c r="G489" i="2"/>
  <c r="F489" i="2"/>
  <c r="E489" i="2"/>
  <c r="D489" i="2"/>
  <c r="C489" i="2"/>
  <c r="B489" i="2"/>
  <c r="A489" i="2"/>
  <c r="G488" i="2"/>
  <c r="F488" i="2"/>
  <c r="E488" i="2"/>
  <c r="D488" i="2"/>
  <c r="C488" i="2"/>
  <c r="B488" i="2"/>
  <c r="A488" i="2"/>
  <c r="G487" i="2"/>
  <c r="F487" i="2"/>
  <c r="E487" i="2"/>
  <c r="D487" i="2"/>
  <c r="C487" i="2"/>
  <c r="B487" i="2"/>
  <c r="A487" i="2"/>
  <c r="G486" i="2"/>
  <c r="F486" i="2"/>
  <c r="E486" i="2"/>
  <c r="D486" i="2"/>
  <c r="C486" i="2"/>
  <c r="B486" i="2"/>
  <c r="A486" i="2"/>
  <c r="G485" i="2"/>
  <c r="F485" i="2"/>
  <c r="E485" i="2"/>
  <c r="D485" i="2"/>
  <c r="C485" i="2"/>
  <c r="B485" i="2"/>
  <c r="A485" i="2"/>
  <c r="G484" i="2"/>
  <c r="F484" i="2"/>
  <c r="E484" i="2"/>
  <c r="D484" i="2"/>
  <c r="C484" i="2"/>
  <c r="B484" i="2"/>
  <c r="A484" i="2"/>
  <c r="G483" i="2"/>
  <c r="F483" i="2"/>
  <c r="E483" i="2"/>
  <c r="D483" i="2"/>
  <c r="C483" i="2"/>
  <c r="B483" i="2"/>
  <c r="A483" i="2"/>
  <c r="G482" i="2"/>
  <c r="F482" i="2"/>
  <c r="E482" i="2"/>
  <c r="D482" i="2"/>
  <c r="C482" i="2"/>
  <c r="B482" i="2"/>
  <c r="A482" i="2"/>
  <c r="G481" i="2"/>
  <c r="F481" i="2"/>
  <c r="E481" i="2"/>
  <c r="D481" i="2"/>
  <c r="C481" i="2"/>
  <c r="B481" i="2"/>
  <c r="A481" i="2"/>
  <c r="G480" i="2"/>
  <c r="F480" i="2"/>
  <c r="E480" i="2"/>
  <c r="D480" i="2"/>
  <c r="C480" i="2"/>
  <c r="B480" i="2"/>
  <c r="A480" i="2"/>
  <c r="G479" i="2"/>
  <c r="F479" i="2"/>
  <c r="E479" i="2"/>
  <c r="D479" i="2"/>
  <c r="C479" i="2"/>
  <c r="B479" i="2"/>
  <c r="A479" i="2"/>
  <c r="G478" i="2"/>
  <c r="F478" i="2"/>
  <c r="E478" i="2"/>
  <c r="D478" i="2"/>
  <c r="C478" i="2"/>
  <c r="B478" i="2"/>
  <c r="A478" i="2"/>
  <c r="G477" i="2"/>
  <c r="F477" i="2"/>
  <c r="E477" i="2"/>
  <c r="D477" i="2"/>
  <c r="C477" i="2"/>
  <c r="B477" i="2"/>
  <c r="A477" i="2"/>
  <c r="G476" i="2"/>
  <c r="F476" i="2"/>
  <c r="E476" i="2"/>
  <c r="D476" i="2"/>
  <c r="C476" i="2"/>
  <c r="B476" i="2"/>
  <c r="A476" i="2"/>
  <c r="G475" i="2"/>
  <c r="F475" i="2"/>
  <c r="E475" i="2"/>
  <c r="D475" i="2"/>
  <c r="C475" i="2"/>
  <c r="B475" i="2"/>
  <c r="A475" i="2"/>
  <c r="G474" i="2"/>
  <c r="F474" i="2"/>
  <c r="E474" i="2"/>
  <c r="D474" i="2"/>
  <c r="C474" i="2"/>
  <c r="B474" i="2"/>
  <c r="A474" i="2"/>
  <c r="G473" i="2"/>
  <c r="F473" i="2"/>
  <c r="E473" i="2"/>
  <c r="D473" i="2"/>
  <c r="C473" i="2"/>
  <c r="B473" i="2"/>
  <c r="A473" i="2"/>
  <c r="G472" i="2"/>
  <c r="F472" i="2"/>
  <c r="E472" i="2"/>
  <c r="D472" i="2"/>
  <c r="C472" i="2"/>
  <c r="B472" i="2"/>
  <c r="A472" i="2"/>
  <c r="G471" i="2"/>
  <c r="F471" i="2"/>
  <c r="E471" i="2"/>
  <c r="D471" i="2"/>
  <c r="C471" i="2"/>
  <c r="B471" i="2"/>
  <c r="A471" i="2"/>
  <c r="G470" i="2"/>
  <c r="F470" i="2"/>
  <c r="E470" i="2"/>
  <c r="D470" i="2"/>
  <c r="C470" i="2"/>
  <c r="B470" i="2"/>
  <c r="A470" i="2"/>
  <c r="G469" i="2"/>
  <c r="F469" i="2"/>
  <c r="E469" i="2"/>
  <c r="D469" i="2"/>
  <c r="C469" i="2"/>
  <c r="B469" i="2"/>
  <c r="A469" i="2"/>
  <c r="G468" i="2"/>
  <c r="F468" i="2"/>
  <c r="E468" i="2"/>
  <c r="D468" i="2"/>
  <c r="C468" i="2"/>
  <c r="B468" i="2"/>
  <c r="A468" i="2"/>
  <c r="G467" i="2"/>
  <c r="F467" i="2"/>
  <c r="E467" i="2"/>
  <c r="D467" i="2"/>
  <c r="C467" i="2"/>
  <c r="B467" i="2"/>
  <c r="A467" i="2"/>
  <c r="G466" i="2"/>
  <c r="F466" i="2"/>
  <c r="E466" i="2"/>
  <c r="D466" i="2"/>
  <c r="C466" i="2"/>
  <c r="B466" i="2"/>
  <c r="A466" i="2"/>
  <c r="G465" i="2"/>
  <c r="F465" i="2"/>
  <c r="E465" i="2"/>
  <c r="D465" i="2"/>
  <c r="C465" i="2"/>
  <c r="B465" i="2"/>
  <c r="A465" i="2"/>
  <c r="G464" i="2"/>
  <c r="F464" i="2"/>
  <c r="E464" i="2"/>
  <c r="D464" i="2"/>
  <c r="C464" i="2"/>
  <c r="B464" i="2"/>
  <c r="A464" i="2"/>
  <c r="G463" i="2"/>
  <c r="F463" i="2"/>
  <c r="E463" i="2"/>
  <c r="D463" i="2"/>
  <c r="C463" i="2"/>
  <c r="B463" i="2"/>
  <c r="A463" i="2"/>
  <c r="G462" i="2"/>
  <c r="F462" i="2"/>
  <c r="E462" i="2"/>
  <c r="D462" i="2"/>
  <c r="C462" i="2"/>
  <c r="B462" i="2"/>
  <c r="A462" i="2"/>
  <c r="G461" i="2"/>
  <c r="F461" i="2"/>
  <c r="E461" i="2"/>
  <c r="D461" i="2"/>
  <c r="C461" i="2"/>
  <c r="B461" i="2"/>
  <c r="A461" i="2"/>
  <c r="G460" i="2"/>
  <c r="F460" i="2"/>
  <c r="E460" i="2"/>
  <c r="D460" i="2"/>
  <c r="C460" i="2"/>
  <c r="B460" i="2"/>
  <c r="A460" i="2"/>
  <c r="G459" i="2"/>
  <c r="F459" i="2"/>
  <c r="E459" i="2"/>
  <c r="D459" i="2"/>
  <c r="C459" i="2"/>
  <c r="B459" i="2"/>
  <c r="A459" i="2"/>
  <c r="G458" i="2"/>
  <c r="F458" i="2"/>
  <c r="E458" i="2"/>
  <c r="D458" i="2"/>
  <c r="C458" i="2"/>
  <c r="B458" i="2"/>
  <c r="A458" i="2"/>
  <c r="G457" i="2"/>
  <c r="F457" i="2"/>
  <c r="E457" i="2"/>
  <c r="D457" i="2"/>
  <c r="C457" i="2"/>
  <c r="B457" i="2"/>
  <c r="A457" i="2"/>
  <c r="G456" i="2"/>
  <c r="F456" i="2"/>
  <c r="E456" i="2"/>
  <c r="D456" i="2"/>
  <c r="C456" i="2"/>
  <c r="B456" i="2"/>
  <c r="A456" i="2"/>
  <c r="G455" i="2"/>
  <c r="F455" i="2"/>
  <c r="E455" i="2"/>
  <c r="D455" i="2"/>
  <c r="C455" i="2"/>
  <c r="B455" i="2"/>
  <c r="A455" i="2"/>
  <c r="G454" i="2"/>
  <c r="F454" i="2"/>
  <c r="E454" i="2"/>
  <c r="D454" i="2"/>
  <c r="C454" i="2"/>
  <c r="B454" i="2"/>
  <c r="A454" i="2"/>
  <c r="G453" i="2"/>
  <c r="F453" i="2"/>
  <c r="E453" i="2"/>
  <c r="D453" i="2"/>
  <c r="C453" i="2"/>
  <c r="B453" i="2"/>
  <c r="A453" i="2"/>
  <c r="G452" i="2"/>
  <c r="F452" i="2"/>
  <c r="E452" i="2"/>
  <c r="D452" i="2"/>
  <c r="C452" i="2"/>
  <c r="B452" i="2"/>
  <c r="A452" i="2"/>
  <c r="G451" i="2"/>
  <c r="F451" i="2"/>
  <c r="E451" i="2"/>
  <c r="D451" i="2"/>
  <c r="C451" i="2"/>
  <c r="B451" i="2"/>
  <c r="A451" i="2"/>
  <c r="G450" i="2"/>
  <c r="F450" i="2"/>
  <c r="E450" i="2"/>
  <c r="D450" i="2"/>
  <c r="C450" i="2"/>
  <c r="B450" i="2"/>
  <c r="A450" i="2"/>
  <c r="G449" i="2"/>
  <c r="F449" i="2"/>
  <c r="E449" i="2"/>
  <c r="D449" i="2"/>
  <c r="C449" i="2"/>
  <c r="B449" i="2"/>
  <c r="A449" i="2"/>
  <c r="G448" i="2"/>
  <c r="F448" i="2"/>
  <c r="E448" i="2"/>
  <c r="D448" i="2"/>
  <c r="C448" i="2"/>
  <c r="B448" i="2"/>
  <c r="A448" i="2"/>
  <c r="G447" i="2"/>
  <c r="F447" i="2"/>
  <c r="E447" i="2"/>
  <c r="D447" i="2"/>
  <c r="C447" i="2"/>
  <c r="B447" i="2"/>
  <c r="A447" i="2"/>
  <c r="G446" i="2"/>
  <c r="F446" i="2"/>
  <c r="E446" i="2"/>
  <c r="D446" i="2"/>
  <c r="C446" i="2"/>
  <c r="B446" i="2"/>
  <c r="A446" i="2"/>
  <c r="G445" i="2"/>
  <c r="F445" i="2"/>
  <c r="E445" i="2"/>
  <c r="D445" i="2"/>
  <c r="C445" i="2"/>
  <c r="B445" i="2"/>
  <c r="A445" i="2"/>
  <c r="G444" i="2"/>
  <c r="F444" i="2"/>
  <c r="E444" i="2"/>
  <c r="D444" i="2"/>
  <c r="C444" i="2"/>
  <c r="B444" i="2"/>
  <c r="A444" i="2"/>
  <c r="G443" i="2"/>
  <c r="F443" i="2"/>
  <c r="E443" i="2"/>
  <c r="D443" i="2"/>
  <c r="C443" i="2"/>
  <c r="B443" i="2"/>
  <c r="A443" i="2"/>
  <c r="G442" i="2"/>
  <c r="F442" i="2"/>
  <c r="E442" i="2"/>
  <c r="D442" i="2"/>
  <c r="C442" i="2"/>
  <c r="B442" i="2"/>
  <c r="A442" i="2"/>
  <c r="G441" i="2"/>
  <c r="F441" i="2"/>
  <c r="E441" i="2"/>
  <c r="D441" i="2"/>
  <c r="C441" i="2"/>
  <c r="B441" i="2"/>
  <c r="A441" i="2"/>
  <c r="G440" i="2"/>
  <c r="F440" i="2"/>
  <c r="E440" i="2"/>
  <c r="D440" i="2"/>
  <c r="C440" i="2"/>
  <c r="B440" i="2"/>
  <c r="A440" i="2"/>
  <c r="G439" i="2"/>
  <c r="F439" i="2"/>
  <c r="E439" i="2"/>
  <c r="D439" i="2"/>
  <c r="C439" i="2"/>
  <c r="B439" i="2"/>
  <c r="A439" i="2"/>
  <c r="G438" i="2"/>
  <c r="F438" i="2"/>
  <c r="E438" i="2"/>
  <c r="D438" i="2"/>
  <c r="C438" i="2"/>
  <c r="B438" i="2"/>
  <c r="A438" i="2"/>
  <c r="G437" i="2"/>
  <c r="F437" i="2"/>
  <c r="E437" i="2"/>
  <c r="D437" i="2"/>
  <c r="C437" i="2"/>
  <c r="B437" i="2"/>
  <c r="A437" i="2"/>
  <c r="G436" i="2"/>
  <c r="F436" i="2"/>
  <c r="E436" i="2"/>
  <c r="D436" i="2"/>
  <c r="C436" i="2"/>
  <c r="B436" i="2"/>
  <c r="A436" i="2"/>
  <c r="G435" i="2"/>
  <c r="F435" i="2"/>
  <c r="E435" i="2"/>
  <c r="D435" i="2"/>
  <c r="C435" i="2"/>
  <c r="B435" i="2"/>
  <c r="A435" i="2"/>
  <c r="G434" i="2"/>
  <c r="F434" i="2"/>
  <c r="E434" i="2"/>
  <c r="D434" i="2"/>
  <c r="C434" i="2"/>
  <c r="B434" i="2"/>
  <c r="A434" i="2"/>
  <c r="G433" i="2"/>
  <c r="F433" i="2"/>
  <c r="E433" i="2"/>
  <c r="D433" i="2"/>
  <c r="C433" i="2"/>
  <c r="B433" i="2"/>
  <c r="A433" i="2"/>
  <c r="G432" i="2"/>
  <c r="F432" i="2"/>
  <c r="E432" i="2"/>
  <c r="D432" i="2"/>
  <c r="C432" i="2"/>
  <c r="B432" i="2"/>
  <c r="A432" i="2"/>
  <c r="G431" i="2"/>
  <c r="F431" i="2"/>
  <c r="E431" i="2"/>
  <c r="D431" i="2"/>
  <c r="C431" i="2"/>
  <c r="B431" i="2"/>
  <c r="A431" i="2"/>
  <c r="G430" i="2"/>
  <c r="F430" i="2"/>
  <c r="E430" i="2"/>
  <c r="D430" i="2"/>
  <c r="C430" i="2"/>
  <c r="B430" i="2"/>
  <c r="A430" i="2"/>
  <c r="G429" i="2"/>
  <c r="F429" i="2"/>
  <c r="E429" i="2"/>
  <c r="D429" i="2"/>
  <c r="C429" i="2"/>
  <c r="B429" i="2"/>
  <c r="A429" i="2"/>
  <c r="G428" i="2"/>
  <c r="F428" i="2"/>
  <c r="E428" i="2"/>
  <c r="D428" i="2"/>
  <c r="C428" i="2"/>
  <c r="B428" i="2"/>
  <c r="A428" i="2"/>
  <c r="G427" i="2"/>
  <c r="F427" i="2"/>
  <c r="E427" i="2"/>
  <c r="D427" i="2"/>
  <c r="C427" i="2"/>
  <c r="B427" i="2"/>
  <c r="A427" i="2"/>
  <c r="G426" i="2"/>
  <c r="F426" i="2"/>
  <c r="E426" i="2"/>
  <c r="D426" i="2"/>
  <c r="C426" i="2"/>
  <c r="B426" i="2"/>
  <c r="A426" i="2"/>
  <c r="G425" i="2"/>
  <c r="F425" i="2"/>
  <c r="E425" i="2"/>
  <c r="D425" i="2"/>
  <c r="C425" i="2"/>
  <c r="B425" i="2"/>
  <c r="A425" i="2"/>
  <c r="G424" i="2"/>
  <c r="F424" i="2"/>
  <c r="E424" i="2"/>
  <c r="D424" i="2"/>
  <c r="C424" i="2"/>
  <c r="B424" i="2"/>
  <c r="A424" i="2"/>
  <c r="G423" i="2"/>
  <c r="F423" i="2"/>
  <c r="E423" i="2"/>
  <c r="D423" i="2"/>
  <c r="C423" i="2"/>
  <c r="B423" i="2"/>
  <c r="A423" i="2"/>
  <c r="G422" i="2"/>
  <c r="F422" i="2"/>
  <c r="E422" i="2"/>
  <c r="D422" i="2"/>
  <c r="C422" i="2"/>
  <c r="B422" i="2"/>
  <c r="A422" i="2"/>
  <c r="G421" i="2"/>
  <c r="F421" i="2"/>
  <c r="E421" i="2"/>
  <c r="D421" i="2"/>
  <c r="C421" i="2"/>
  <c r="B421" i="2"/>
  <c r="A421" i="2"/>
  <c r="G420" i="2"/>
  <c r="F420" i="2"/>
  <c r="E420" i="2"/>
  <c r="D420" i="2"/>
  <c r="C420" i="2"/>
  <c r="B420" i="2"/>
  <c r="A420" i="2"/>
  <c r="G419" i="2"/>
  <c r="F419" i="2"/>
  <c r="E419" i="2"/>
  <c r="D419" i="2"/>
  <c r="C419" i="2"/>
  <c r="B419" i="2"/>
  <c r="A419" i="2"/>
  <c r="G418" i="2"/>
  <c r="F418" i="2"/>
  <c r="E418" i="2"/>
  <c r="D418" i="2"/>
  <c r="C418" i="2"/>
  <c r="B418" i="2"/>
  <c r="A418" i="2"/>
  <c r="G417" i="2"/>
  <c r="F417" i="2"/>
  <c r="E417" i="2"/>
  <c r="D417" i="2"/>
  <c r="C417" i="2"/>
  <c r="B417" i="2"/>
  <c r="A417" i="2"/>
  <c r="G416" i="2"/>
  <c r="F416" i="2"/>
  <c r="E416" i="2"/>
  <c r="D416" i="2"/>
  <c r="C416" i="2"/>
  <c r="B416" i="2"/>
  <c r="A416" i="2"/>
  <c r="G415" i="2"/>
  <c r="F415" i="2"/>
  <c r="E415" i="2"/>
  <c r="D415" i="2"/>
  <c r="C415" i="2"/>
  <c r="B415" i="2"/>
  <c r="A415" i="2"/>
  <c r="G414" i="2"/>
  <c r="F414" i="2"/>
  <c r="E414" i="2"/>
  <c r="D414" i="2"/>
  <c r="C414" i="2"/>
  <c r="B414" i="2"/>
  <c r="A414" i="2"/>
  <c r="G413" i="2"/>
  <c r="F413" i="2"/>
  <c r="E413" i="2"/>
  <c r="D413" i="2"/>
  <c r="C413" i="2"/>
  <c r="B413" i="2"/>
  <c r="A413" i="2"/>
  <c r="G412" i="2"/>
  <c r="F412" i="2"/>
  <c r="E412" i="2"/>
  <c r="D412" i="2"/>
  <c r="C412" i="2"/>
  <c r="B412" i="2"/>
  <c r="A412" i="2"/>
  <c r="G411" i="2"/>
  <c r="F411" i="2"/>
  <c r="E411" i="2"/>
  <c r="D411" i="2"/>
  <c r="C411" i="2"/>
  <c r="B411" i="2"/>
  <c r="A411" i="2"/>
  <c r="G410" i="2"/>
  <c r="F410" i="2"/>
  <c r="E410" i="2"/>
  <c r="D410" i="2"/>
  <c r="C410" i="2"/>
  <c r="B410" i="2"/>
  <c r="A410" i="2"/>
  <c r="G409" i="2"/>
  <c r="F409" i="2"/>
  <c r="E409" i="2"/>
  <c r="D409" i="2"/>
  <c r="C409" i="2"/>
  <c r="B409" i="2"/>
  <c r="A409" i="2"/>
  <c r="G408" i="2"/>
  <c r="F408" i="2"/>
  <c r="E408" i="2"/>
  <c r="D408" i="2"/>
  <c r="C408" i="2"/>
  <c r="B408" i="2"/>
  <c r="A408" i="2"/>
  <c r="G407" i="2"/>
  <c r="F407" i="2"/>
  <c r="E407" i="2"/>
  <c r="D407" i="2"/>
  <c r="C407" i="2"/>
  <c r="B407" i="2"/>
  <c r="A407" i="2"/>
  <c r="G406" i="2"/>
  <c r="F406" i="2"/>
  <c r="E406" i="2"/>
  <c r="D406" i="2"/>
  <c r="C406" i="2"/>
  <c r="B406" i="2"/>
  <c r="A406" i="2"/>
  <c r="G405" i="2"/>
  <c r="F405" i="2"/>
  <c r="E405" i="2"/>
  <c r="D405" i="2"/>
  <c r="C405" i="2"/>
  <c r="B405" i="2"/>
  <c r="A405" i="2"/>
  <c r="G404" i="2"/>
  <c r="F404" i="2"/>
  <c r="E404" i="2"/>
  <c r="D404" i="2"/>
  <c r="C404" i="2"/>
  <c r="B404" i="2"/>
  <c r="A404" i="2"/>
  <c r="G403" i="2"/>
  <c r="F403" i="2"/>
  <c r="E403" i="2"/>
  <c r="D403" i="2"/>
  <c r="C403" i="2"/>
  <c r="B403" i="2"/>
  <c r="A403" i="2"/>
  <c r="G402" i="2"/>
  <c r="F402" i="2"/>
  <c r="E402" i="2"/>
  <c r="D402" i="2"/>
  <c r="C402" i="2"/>
  <c r="B402" i="2"/>
  <c r="A402" i="2"/>
  <c r="G401" i="2"/>
  <c r="F401" i="2"/>
  <c r="E401" i="2"/>
  <c r="D401" i="2"/>
  <c r="C401" i="2"/>
  <c r="B401" i="2"/>
  <c r="A401" i="2"/>
  <c r="G400" i="2"/>
  <c r="F400" i="2"/>
  <c r="E400" i="2"/>
  <c r="D400" i="2"/>
  <c r="C400" i="2"/>
  <c r="B400" i="2"/>
  <c r="A400" i="2"/>
  <c r="G399" i="2"/>
  <c r="F399" i="2"/>
  <c r="E399" i="2"/>
  <c r="D399" i="2"/>
  <c r="C399" i="2"/>
  <c r="B399" i="2"/>
  <c r="A399" i="2"/>
  <c r="G398" i="2"/>
  <c r="F398" i="2"/>
  <c r="E398" i="2"/>
  <c r="D398" i="2"/>
  <c r="C398" i="2"/>
  <c r="B398" i="2"/>
  <c r="A398" i="2"/>
  <c r="G397" i="2"/>
  <c r="F397" i="2"/>
  <c r="E397" i="2"/>
  <c r="D397" i="2"/>
  <c r="C397" i="2"/>
  <c r="B397" i="2"/>
  <c r="A397" i="2"/>
  <c r="G396" i="2"/>
  <c r="F396" i="2"/>
  <c r="E396" i="2"/>
  <c r="D396" i="2"/>
  <c r="C396" i="2"/>
  <c r="B396" i="2"/>
  <c r="A396" i="2"/>
  <c r="G395" i="2"/>
  <c r="F395" i="2"/>
  <c r="E395" i="2"/>
  <c r="D395" i="2"/>
  <c r="C395" i="2"/>
  <c r="B395" i="2"/>
  <c r="A395" i="2"/>
  <c r="G394" i="2"/>
  <c r="F394" i="2"/>
  <c r="E394" i="2"/>
  <c r="D394" i="2"/>
  <c r="C394" i="2"/>
  <c r="B394" i="2"/>
  <c r="A394" i="2"/>
  <c r="G393" i="2"/>
  <c r="F393" i="2"/>
  <c r="E393" i="2"/>
  <c r="D393" i="2"/>
  <c r="C393" i="2"/>
  <c r="B393" i="2"/>
  <c r="A393" i="2"/>
  <c r="G392" i="2"/>
  <c r="F392" i="2"/>
  <c r="E392" i="2"/>
  <c r="D392" i="2"/>
  <c r="C392" i="2"/>
  <c r="B392" i="2"/>
  <c r="A392" i="2"/>
  <c r="G391" i="2"/>
  <c r="F391" i="2"/>
  <c r="E391" i="2"/>
  <c r="D391" i="2"/>
  <c r="C391" i="2"/>
  <c r="B391" i="2"/>
  <c r="A391" i="2"/>
  <c r="G390" i="2"/>
  <c r="F390" i="2"/>
  <c r="E390" i="2"/>
  <c r="D390" i="2"/>
  <c r="C390" i="2"/>
  <c r="B390" i="2"/>
  <c r="A390" i="2"/>
  <c r="G389" i="2"/>
  <c r="F389" i="2"/>
  <c r="E389" i="2"/>
  <c r="D389" i="2"/>
  <c r="C389" i="2"/>
  <c r="B389" i="2"/>
  <c r="A389" i="2"/>
  <c r="G388" i="2"/>
  <c r="F388" i="2"/>
  <c r="E388" i="2"/>
  <c r="D388" i="2"/>
  <c r="C388" i="2"/>
  <c r="B388" i="2"/>
  <c r="A388" i="2"/>
  <c r="G387" i="2"/>
  <c r="F387" i="2"/>
  <c r="E387" i="2"/>
  <c r="D387" i="2"/>
  <c r="C387" i="2"/>
  <c r="B387" i="2"/>
  <c r="A387" i="2"/>
  <c r="G386" i="2"/>
  <c r="F386" i="2"/>
  <c r="E386" i="2"/>
  <c r="D386" i="2"/>
  <c r="C386" i="2"/>
  <c r="B386" i="2"/>
  <c r="A386" i="2"/>
  <c r="G385" i="2"/>
  <c r="F385" i="2"/>
  <c r="E385" i="2"/>
  <c r="D385" i="2"/>
  <c r="C385" i="2"/>
  <c r="B385" i="2"/>
  <c r="A385" i="2"/>
  <c r="G384" i="2"/>
  <c r="F384" i="2"/>
  <c r="E384" i="2"/>
  <c r="D384" i="2"/>
  <c r="C384" i="2"/>
  <c r="B384" i="2"/>
  <c r="A384" i="2"/>
  <c r="G383" i="2"/>
  <c r="F383" i="2"/>
  <c r="E383" i="2"/>
  <c r="D383" i="2"/>
  <c r="C383" i="2"/>
  <c r="B383" i="2"/>
  <c r="A383" i="2"/>
  <c r="G382" i="2"/>
  <c r="F382" i="2"/>
  <c r="E382" i="2"/>
  <c r="D382" i="2"/>
  <c r="C382" i="2"/>
  <c r="B382" i="2"/>
  <c r="A382" i="2"/>
  <c r="G381" i="2"/>
  <c r="F381" i="2"/>
  <c r="E381" i="2"/>
  <c r="D381" i="2"/>
  <c r="C381" i="2"/>
  <c r="B381" i="2"/>
  <c r="A381" i="2"/>
  <c r="G380" i="2"/>
  <c r="F380" i="2"/>
  <c r="E380" i="2"/>
  <c r="D380" i="2"/>
  <c r="C380" i="2"/>
  <c r="B380" i="2"/>
  <c r="A380" i="2"/>
  <c r="G379" i="2"/>
  <c r="F379" i="2"/>
  <c r="E379" i="2"/>
  <c r="D379" i="2"/>
  <c r="C379" i="2"/>
  <c r="B379" i="2"/>
  <c r="A379" i="2"/>
  <c r="G378" i="2"/>
  <c r="F378" i="2"/>
  <c r="E378" i="2"/>
  <c r="D378" i="2"/>
  <c r="C378" i="2"/>
  <c r="B378" i="2"/>
  <c r="A378" i="2"/>
  <c r="G377" i="2"/>
  <c r="F377" i="2"/>
  <c r="E377" i="2"/>
  <c r="D377" i="2"/>
  <c r="C377" i="2"/>
  <c r="B377" i="2"/>
  <c r="A377" i="2"/>
  <c r="G376" i="2"/>
  <c r="F376" i="2"/>
  <c r="E376" i="2"/>
  <c r="D376" i="2"/>
  <c r="C376" i="2"/>
  <c r="B376" i="2"/>
  <c r="A376" i="2"/>
  <c r="G375" i="2"/>
  <c r="F375" i="2"/>
  <c r="E375" i="2"/>
  <c r="D375" i="2"/>
  <c r="C375" i="2"/>
  <c r="B375" i="2"/>
  <c r="A375" i="2"/>
  <c r="G374" i="2"/>
  <c r="F374" i="2"/>
  <c r="E374" i="2"/>
  <c r="D374" i="2"/>
  <c r="C374" i="2"/>
  <c r="B374" i="2"/>
  <c r="A374" i="2"/>
  <c r="G373" i="2"/>
  <c r="F373" i="2"/>
  <c r="E373" i="2"/>
  <c r="D373" i="2"/>
  <c r="C373" i="2"/>
  <c r="B373" i="2"/>
  <c r="A373" i="2"/>
  <c r="G372" i="2"/>
  <c r="F372" i="2"/>
  <c r="E372" i="2"/>
  <c r="D372" i="2"/>
  <c r="C372" i="2"/>
  <c r="B372" i="2"/>
  <c r="A372" i="2"/>
  <c r="G371" i="2"/>
  <c r="F371" i="2"/>
  <c r="E371" i="2"/>
  <c r="D371" i="2"/>
  <c r="C371" i="2"/>
  <c r="B371" i="2"/>
  <c r="A371" i="2"/>
  <c r="G370" i="2"/>
  <c r="F370" i="2"/>
  <c r="E370" i="2"/>
  <c r="D370" i="2"/>
  <c r="C370" i="2"/>
  <c r="B370" i="2"/>
  <c r="A370" i="2"/>
  <c r="G369" i="2"/>
  <c r="F369" i="2"/>
  <c r="E369" i="2"/>
  <c r="D369" i="2"/>
  <c r="C369" i="2"/>
  <c r="B369" i="2"/>
  <c r="A369" i="2"/>
  <c r="G368" i="2"/>
  <c r="F368" i="2"/>
  <c r="E368" i="2"/>
  <c r="D368" i="2"/>
  <c r="C368" i="2"/>
  <c r="B368" i="2"/>
  <c r="A368" i="2"/>
  <c r="G367" i="2"/>
  <c r="F367" i="2"/>
  <c r="E367" i="2"/>
  <c r="D367" i="2"/>
  <c r="C367" i="2"/>
  <c r="B367" i="2"/>
  <c r="A367" i="2"/>
  <c r="G366" i="2"/>
  <c r="F366" i="2"/>
  <c r="E366" i="2"/>
  <c r="D366" i="2"/>
  <c r="C366" i="2"/>
  <c r="B366" i="2"/>
  <c r="A366" i="2"/>
  <c r="G365" i="2"/>
  <c r="F365" i="2"/>
  <c r="E365" i="2"/>
  <c r="D365" i="2"/>
  <c r="C365" i="2"/>
  <c r="B365" i="2"/>
  <c r="A365" i="2"/>
  <c r="G364" i="2"/>
  <c r="F364" i="2"/>
  <c r="E364" i="2"/>
  <c r="D364" i="2"/>
  <c r="C364" i="2"/>
  <c r="B364" i="2"/>
  <c r="A364" i="2"/>
  <c r="G363" i="2"/>
  <c r="F363" i="2"/>
  <c r="E363" i="2"/>
  <c r="D363" i="2"/>
  <c r="C363" i="2"/>
  <c r="B363" i="2"/>
  <c r="A363" i="2"/>
  <c r="G362" i="2"/>
  <c r="F362" i="2"/>
  <c r="E362" i="2"/>
  <c r="D362" i="2"/>
  <c r="C362" i="2"/>
  <c r="B362" i="2"/>
  <c r="A362" i="2"/>
  <c r="G361" i="2"/>
  <c r="F361" i="2"/>
  <c r="E361" i="2"/>
  <c r="D361" i="2"/>
  <c r="C361" i="2"/>
  <c r="B361" i="2"/>
  <c r="A361" i="2"/>
  <c r="G360" i="2"/>
  <c r="F360" i="2"/>
  <c r="E360" i="2"/>
  <c r="D360" i="2"/>
  <c r="C360" i="2"/>
  <c r="B360" i="2"/>
  <c r="A360" i="2"/>
  <c r="G359" i="2"/>
  <c r="F359" i="2"/>
  <c r="E359" i="2"/>
  <c r="D359" i="2"/>
  <c r="C359" i="2"/>
  <c r="B359" i="2"/>
  <c r="A359" i="2"/>
  <c r="G358" i="2"/>
  <c r="F358" i="2"/>
  <c r="E358" i="2"/>
  <c r="D358" i="2"/>
  <c r="C358" i="2"/>
  <c r="B358" i="2"/>
  <c r="A358" i="2"/>
  <c r="G357" i="2"/>
  <c r="F357" i="2"/>
  <c r="E357" i="2"/>
  <c r="D357" i="2"/>
  <c r="C357" i="2"/>
  <c r="B357" i="2"/>
  <c r="A357" i="2"/>
  <c r="G356" i="2"/>
  <c r="F356" i="2"/>
  <c r="E356" i="2"/>
  <c r="D356" i="2"/>
  <c r="C356" i="2"/>
  <c r="B356" i="2"/>
  <c r="A356" i="2"/>
  <c r="G355" i="2"/>
  <c r="F355" i="2"/>
  <c r="E355" i="2"/>
  <c r="D355" i="2"/>
  <c r="C355" i="2"/>
  <c r="B355" i="2"/>
  <c r="A355" i="2"/>
  <c r="G354" i="2"/>
  <c r="F354" i="2"/>
  <c r="E354" i="2"/>
  <c r="D354" i="2"/>
  <c r="C354" i="2"/>
  <c r="B354" i="2"/>
  <c r="A354" i="2"/>
  <c r="G353" i="2"/>
  <c r="F353" i="2"/>
  <c r="E353" i="2"/>
  <c r="D353" i="2"/>
  <c r="C353" i="2"/>
  <c r="B353" i="2"/>
  <c r="A353" i="2"/>
  <c r="G352" i="2"/>
  <c r="F352" i="2"/>
  <c r="E352" i="2"/>
  <c r="D352" i="2"/>
  <c r="C352" i="2"/>
  <c r="B352" i="2"/>
  <c r="A352" i="2"/>
  <c r="G351" i="2"/>
  <c r="F351" i="2"/>
  <c r="E351" i="2"/>
  <c r="D351" i="2"/>
  <c r="C351" i="2"/>
  <c r="B351" i="2"/>
  <c r="A351" i="2"/>
  <c r="G350" i="2"/>
  <c r="F350" i="2"/>
  <c r="E350" i="2"/>
  <c r="D350" i="2"/>
  <c r="C350" i="2"/>
  <c r="B350" i="2"/>
  <c r="A350" i="2"/>
  <c r="G349" i="2"/>
  <c r="F349" i="2"/>
  <c r="E349" i="2"/>
  <c r="D349" i="2"/>
  <c r="C349" i="2"/>
  <c r="B349" i="2"/>
  <c r="A349" i="2"/>
  <c r="G348" i="2"/>
  <c r="F348" i="2"/>
  <c r="E348" i="2"/>
  <c r="D348" i="2"/>
  <c r="C348" i="2"/>
  <c r="B348" i="2"/>
  <c r="A348" i="2"/>
  <c r="G347" i="2"/>
  <c r="F347" i="2"/>
  <c r="E347" i="2"/>
  <c r="D347" i="2"/>
  <c r="C347" i="2"/>
  <c r="B347" i="2"/>
  <c r="A347" i="2"/>
  <c r="G346" i="2"/>
  <c r="F346" i="2"/>
  <c r="E346" i="2"/>
  <c r="D346" i="2"/>
  <c r="C346" i="2"/>
  <c r="B346" i="2"/>
  <c r="A346" i="2"/>
  <c r="G345" i="2"/>
  <c r="F345" i="2"/>
  <c r="E345" i="2"/>
  <c r="D345" i="2"/>
  <c r="C345" i="2"/>
  <c r="B345" i="2"/>
  <c r="A345" i="2"/>
  <c r="G344" i="2"/>
  <c r="F344" i="2"/>
  <c r="E344" i="2"/>
  <c r="D344" i="2"/>
  <c r="C344" i="2"/>
  <c r="B344" i="2"/>
  <c r="A344" i="2"/>
  <c r="G343" i="2"/>
  <c r="F343" i="2"/>
  <c r="E343" i="2"/>
  <c r="D343" i="2"/>
  <c r="C343" i="2"/>
  <c r="B343" i="2"/>
  <c r="A343" i="2"/>
  <c r="G342" i="2"/>
  <c r="F342" i="2"/>
  <c r="E342" i="2"/>
  <c r="D342" i="2"/>
  <c r="C342" i="2"/>
  <c r="B342" i="2"/>
  <c r="A342" i="2"/>
  <c r="G341" i="2"/>
  <c r="F341" i="2"/>
  <c r="E341" i="2"/>
  <c r="D341" i="2"/>
  <c r="C341" i="2"/>
  <c r="B341" i="2"/>
  <c r="A341" i="2"/>
  <c r="G340" i="2"/>
  <c r="F340" i="2"/>
  <c r="E340" i="2"/>
  <c r="D340" i="2"/>
  <c r="C340" i="2"/>
  <c r="B340" i="2"/>
  <c r="A340" i="2"/>
  <c r="G339" i="2"/>
  <c r="F339" i="2"/>
  <c r="E339" i="2"/>
  <c r="D339" i="2"/>
  <c r="C339" i="2"/>
  <c r="B339" i="2"/>
  <c r="A339" i="2"/>
  <c r="G338" i="2"/>
  <c r="F338" i="2"/>
  <c r="E338" i="2"/>
  <c r="D338" i="2"/>
  <c r="C338" i="2"/>
  <c r="B338" i="2"/>
  <c r="A338" i="2"/>
  <c r="G337" i="2"/>
  <c r="F337" i="2"/>
  <c r="E337" i="2"/>
  <c r="D337" i="2"/>
  <c r="C337" i="2"/>
  <c r="B337" i="2"/>
  <c r="A337" i="2"/>
  <c r="G336" i="2"/>
  <c r="F336" i="2"/>
  <c r="E336" i="2"/>
  <c r="D336" i="2"/>
  <c r="C336" i="2"/>
  <c r="B336" i="2"/>
  <c r="A336" i="2"/>
  <c r="G335" i="2"/>
  <c r="F335" i="2"/>
  <c r="E335" i="2"/>
  <c r="D335" i="2"/>
  <c r="C335" i="2"/>
  <c r="B335" i="2"/>
  <c r="A335" i="2"/>
  <c r="G334" i="2"/>
  <c r="F334" i="2"/>
  <c r="E334" i="2"/>
  <c r="D334" i="2"/>
  <c r="C334" i="2"/>
  <c r="B334" i="2"/>
  <c r="A334" i="2"/>
  <c r="G333" i="2"/>
  <c r="F333" i="2"/>
  <c r="E333" i="2"/>
  <c r="D333" i="2"/>
  <c r="C333" i="2"/>
  <c r="B333" i="2"/>
  <c r="A333" i="2"/>
  <c r="G332" i="2"/>
  <c r="F332" i="2"/>
  <c r="E332" i="2"/>
  <c r="D332" i="2"/>
  <c r="C332" i="2"/>
  <c r="B332" i="2"/>
  <c r="A332" i="2"/>
  <c r="G331" i="2"/>
  <c r="F331" i="2"/>
  <c r="E331" i="2"/>
  <c r="D331" i="2"/>
  <c r="C331" i="2"/>
  <c r="B331" i="2"/>
  <c r="A331" i="2"/>
  <c r="G330" i="2"/>
  <c r="F330" i="2"/>
  <c r="E330" i="2"/>
  <c r="D330" i="2"/>
  <c r="C330" i="2"/>
  <c r="B330" i="2"/>
  <c r="A330" i="2"/>
  <c r="G329" i="2"/>
  <c r="F329" i="2"/>
  <c r="E329" i="2"/>
  <c r="D329" i="2"/>
  <c r="C329" i="2"/>
  <c r="B329" i="2"/>
  <c r="A329" i="2"/>
  <c r="G328" i="2"/>
  <c r="F328" i="2"/>
  <c r="E328" i="2"/>
  <c r="D328" i="2"/>
  <c r="C328" i="2"/>
  <c r="B328" i="2"/>
  <c r="A328" i="2"/>
  <c r="G327" i="2"/>
  <c r="F327" i="2"/>
  <c r="E327" i="2"/>
  <c r="D327" i="2"/>
  <c r="C327" i="2"/>
  <c r="B327" i="2"/>
  <c r="A327" i="2"/>
  <c r="G326" i="2"/>
  <c r="F326" i="2"/>
  <c r="E326" i="2"/>
  <c r="D326" i="2"/>
  <c r="C326" i="2"/>
  <c r="B326" i="2"/>
  <c r="A326" i="2"/>
  <c r="G325" i="2"/>
  <c r="F325" i="2"/>
  <c r="E325" i="2"/>
  <c r="D325" i="2"/>
  <c r="C325" i="2"/>
  <c r="B325" i="2"/>
  <c r="A325" i="2"/>
  <c r="G324" i="2"/>
  <c r="F324" i="2"/>
  <c r="E324" i="2"/>
  <c r="D324" i="2"/>
  <c r="C324" i="2"/>
  <c r="B324" i="2"/>
  <c r="A324" i="2"/>
  <c r="G323" i="2"/>
  <c r="F323" i="2"/>
  <c r="E323" i="2"/>
  <c r="D323" i="2"/>
  <c r="C323" i="2"/>
  <c r="B323" i="2"/>
  <c r="A323" i="2"/>
  <c r="G322" i="2"/>
  <c r="F322" i="2"/>
  <c r="E322" i="2"/>
  <c r="D322" i="2"/>
  <c r="C322" i="2"/>
  <c r="B322" i="2"/>
  <c r="A322" i="2"/>
  <c r="G321" i="2"/>
  <c r="F321" i="2"/>
  <c r="E321" i="2"/>
  <c r="D321" i="2"/>
  <c r="C321" i="2"/>
  <c r="B321" i="2"/>
  <c r="A321" i="2"/>
  <c r="G320" i="2"/>
  <c r="F320" i="2"/>
  <c r="E320" i="2"/>
  <c r="D320" i="2"/>
  <c r="C320" i="2"/>
  <c r="B320" i="2"/>
  <c r="A320" i="2"/>
  <c r="G319" i="2"/>
  <c r="F319" i="2"/>
  <c r="E319" i="2"/>
  <c r="D319" i="2"/>
  <c r="C319" i="2"/>
  <c r="B319" i="2"/>
  <c r="A319" i="2"/>
  <c r="G318" i="2"/>
  <c r="F318" i="2"/>
  <c r="E318" i="2"/>
  <c r="D318" i="2"/>
  <c r="C318" i="2"/>
  <c r="B318" i="2"/>
  <c r="A318" i="2"/>
  <c r="G317" i="2"/>
  <c r="F317" i="2"/>
  <c r="E317" i="2"/>
  <c r="D317" i="2"/>
  <c r="C317" i="2"/>
  <c r="B317" i="2"/>
  <c r="A317" i="2"/>
  <c r="G316" i="2"/>
  <c r="F316" i="2"/>
  <c r="E316" i="2"/>
  <c r="D316" i="2"/>
  <c r="C316" i="2"/>
  <c r="B316" i="2"/>
  <c r="A316" i="2"/>
  <c r="G315" i="2"/>
  <c r="F315" i="2"/>
  <c r="E315" i="2"/>
  <c r="D315" i="2"/>
  <c r="C315" i="2"/>
  <c r="B315" i="2"/>
  <c r="A315" i="2"/>
  <c r="G314" i="2"/>
  <c r="F314" i="2"/>
  <c r="E314" i="2"/>
  <c r="D314" i="2"/>
  <c r="C314" i="2"/>
  <c r="B314" i="2"/>
  <c r="A314" i="2"/>
  <c r="G313" i="2"/>
  <c r="F313" i="2"/>
  <c r="E313" i="2"/>
  <c r="D313" i="2"/>
  <c r="C313" i="2"/>
  <c r="B313" i="2"/>
  <c r="A313" i="2"/>
  <c r="G312" i="2"/>
  <c r="F312" i="2"/>
  <c r="E312" i="2"/>
  <c r="D312" i="2"/>
  <c r="C312" i="2"/>
  <c r="B312" i="2"/>
  <c r="A312" i="2"/>
  <c r="G311" i="2"/>
  <c r="F311" i="2"/>
  <c r="E311" i="2"/>
  <c r="D311" i="2"/>
  <c r="C311" i="2"/>
  <c r="B311" i="2"/>
  <c r="A311" i="2"/>
  <c r="G310" i="2"/>
  <c r="F310" i="2"/>
  <c r="E310" i="2"/>
  <c r="D310" i="2"/>
  <c r="C310" i="2"/>
  <c r="B310" i="2"/>
  <c r="A310" i="2"/>
  <c r="G309" i="2"/>
  <c r="F309" i="2"/>
  <c r="E309" i="2"/>
  <c r="D309" i="2"/>
  <c r="C309" i="2"/>
  <c r="B309" i="2"/>
  <c r="A309" i="2"/>
  <c r="G308" i="2"/>
  <c r="F308" i="2"/>
  <c r="E308" i="2"/>
  <c r="D308" i="2"/>
  <c r="C308" i="2"/>
  <c r="B308" i="2"/>
  <c r="A308" i="2"/>
  <c r="G307" i="2"/>
  <c r="F307" i="2"/>
  <c r="E307" i="2"/>
  <c r="D307" i="2"/>
  <c r="C307" i="2"/>
  <c r="B307" i="2"/>
  <c r="A307" i="2"/>
  <c r="G306" i="2"/>
  <c r="F306" i="2"/>
  <c r="E306" i="2"/>
  <c r="D306" i="2"/>
  <c r="C306" i="2"/>
  <c r="B306" i="2"/>
  <c r="A306" i="2"/>
  <c r="G305" i="2"/>
  <c r="F305" i="2"/>
  <c r="E305" i="2"/>
  <c r="D305" i="2"/>
  <c r="C305" i="2"/>
  <c r="B305" i="2"/>
  <c r="A305" i="2"/>
  <c r="G304" i="2"/>
  <c r="F304" i="2"/>
  <c r="E304" i="2"/>
  <c r="D304" i="2"/>
  <c r="C304" i="2"/>
  <c r="B304" i="2"/>
  <c r="A304" i="2"/>
  <c r="G303" i="2"/>
  <c r="F303" i="2"/>
  <c r="E303" i="2"/>
  <c r="D303" i="2"/>
  <c r="C303" i="2"/>
  <c r="B303" i="2"/>
  <c r="A303" i="2"/>
  <c r="G302" i="2"/>
  <c r="F302" i="2"/>
  <c r="E302" i="2"/>
  <c r="D302" i="2"/>
  <c r="C302" i="2"/>
  <c r="B302" i="2"/>
  <c r="A302" i="2"/>
  <c r="G301" i="2"/>
  <c r="F301" i="2"/>
  <c r="E301" i="2"/>
  <c r="D301" i="2"/>
  <c r="C301" i="2"/>
  <c r="B301" i="2"/>
  <c r="A301" i="2"/>
  <c r="G300" i="2"/>
  <c r="F300" i="2"/>
  <c r="E300" i="2"/>
  <c r="D300" i="2"/>
  <c r="C300" i="2"/>
  <c r="B300" i="2"/>
  <c r="A300" i="2"/>
  <c r="G299" i="2"/>
  <c r="F299" i="2"/>
  <c r="E299" i="2"/>
  <c r="D299" i="2"/>
  <c r="C299" i="2"/>
  <c r="B299" i="2"/>
  <c r="A299" i="2"/>
  <c r="G298" i="2"/>
  <c r="F298" i="2"/>
  <c r="E298" i="2"/>
  <c r="D298" i="2"/>
  <c r="C298" i="2"/>
  <c r="B298" i="2"/>
  <c r="A298" i="2"/>
  <c r="G297" i="2"/>
  <c r="F297" i="2"/>
  <c r="E297" i="2"/>
  <c r="D297" i="2"/>
  <c r="C297" i="2"/>
  <c r="B297" i="2"/>
  <c r="A297" i="2"/>
  <c r="G296" i="2"/>
  <c r="F296" i="2"/>
  <c r="E296" i="2"/>
  <c r="D296" i="2"/>
  <c r="C296" i="2"/>
  <c r="B296" i="2"/>
  <c r="A296" i="2"/>
  <c r="G295" i="2"/>
  <c r="F295" i="2"/>
  <c r="E295" i="2"/>
  <c r="D295" i="2"/>
  <c r="C295" i="2"/>
  <c r="B295" i="2"/>
  <c r="A295" i="2"/>
  <c r="G294" i="2"/>
  <c r="F294" i="2"/>
  <c r="E294" i="2"/>
  <c r="D294" i="2"/>
  <c r="C294" i="2"/>
  <c r="B294" i="2"/>
  <c r="A294" i="2"/>
  <c r="G293" i="2"/>
  <c r="F293" i="2"/>
  <c r="E293" i="2"/>
  <c r="D293" i="2"/>
  <c r="C293" i="2"/>
  <c r="B293" i="2"/>
  <c r="A293" i="2"/>
  <c r="G292" i="2"/>
  <c r="F292" i="2"/>
  <c r="E292" i="2"/>
  <c r="D292" i="2"/>
  <c r="C292" i="2"/>
  <c r="B292" i="2"/>
  <c r="A292" i="2"/>
  <c r="G291" i="2"/>
  <c r="F291" i="2"/>
  <c r="E291" i="2"/>
  <c r="D291" i="2"/>
  <c r="C291" i="2"/>
  <c r="B291" i="2"/>
  <c r="A291" i="2"/>
  <c r="G290" i="2"/>
  <c r="F290" i="2"/>
  <c r="E290" i="2"/>
  <c r="D290" i="2"/>
  <c r="C290" i="2"/>
  <c r="B290" i="2"/>
  <c r="A290" i="2"/>
  <c r="G289" i="2"/>
  <c r="F289" i="2"/>
  <c r="E289" i="2"/>
  <c r="D289" i="2"/>
  <c r="C289" i="2"/>
  <c r="B289" i="2"/>
  <c r="A289" i="2"/>
  <c r="G288" i="2"/>
  <c r="F288" i="2"/>
  <c r="E288" i="2"/>
  <c r="D288" i="2"/>
  <c r="C288" i="2"/>
  <c r="B288" i="2"/>
  <c r="A288" i="2"/>
  <c r="G287" i="2"/>
  <c r="F287" i="2"/>
  <c r="E287" i="2"/>
  <c r="D287" i="2"/>
  <c r="C287" i="2"/>
  <c r="B287" i="2"/>
  <c r="A287" i="2"/>
  <c r="G286" i="2"/>
  <c r="F286" i="2"/>
  <c r="E286" i="2"/>
  <c r="D286" i="2"/>
  <c r="C286" i="2"/>
  <c r="B286" i="2"/>
  <c r="A286" i="2"/>
  <c r="G285" i="2"/>
  <c r="F285" i="2"/>
  <c r="E285" i="2"/>
  <c r="D285" i="2"/>
  <c r="C285" i="2"/>
  <c r="B285" i="2"/>
  <c r="A285" i="2"/>
  <c r="G284" i="2"/>
  <c r="F284" i="2"/>
  <c r="E284" i="2"/>
  <c r="D284" i="2"/>
  <c r="C284" i="2"/>
  <c r="B284" i="2"/>
  <c r="A284" i="2"/>
  <c r="G283" i="2"/>
  <c r="F283" i="2"/>
  <c r="E283" i="2"/>
  <c r="D283" i="2"/>
  <c r="C283" i="2"/>
  <c r="B283" i="2"/>
  <c r="A283" i="2"/>
  <c r="G282" i="2"/>
  <c r="F282" i="2"/>
  <c r="E282" i="2"/>
  <c r="D282" i="2"/>
  <c r="C282" i="2"/>
  <c r="B282" i="2"/>
  <c r="A282" i="2"/>
  <c r="G281" i="2"/>
  <c r="F281" i="2"/>
  <c r="E281" i="2"/>
  <c r="D281" i="2"/>
  <c r="C281" i="2"/>
  <c r="B281" i="2"/>
  <c r="A281" i="2"/>
  <c r="G280" i="2"/>
  <c r="F280" i="2"/>
  <c r="E280" i="2"/>
  <c r="D280" i="2"/>
  <c r="C280" i="2"/>
  <c r="B280" i="2"/>
  <c r="A280" i="2"/>
  <c r="G279" i="2"/>
  <c r="F279" i="2"/>
  <c r="E279" i="2"/>
  <c r="D279" i="2"/>
  <c r="C279" i="2"/>
  <c r="B279" i="2"/>
  <c r="A279" i="2"/>
  <c r="G278" i="2"/>
  <c r="F278" i="2"/>
  <c r="E278" i="2"/>
  <c r="D278" i="2"/>
  <c r="C278" i="2"/>
  <c r="B278" i="2"/>
  <c r="A278" i="2"/>
  <c r="G277" i="2"/>
  <c r="F277" i="2"/>
  <c r="E277" i="2"/>
  <c r="D277" i="2"/>
  <c r="C277" i="2"/>
  <c r="B277" i="2"/>
  <c r="A277" i="2"/>
  <c r="G276" i="2"/>
  <c r="F276" i="2"/>
  <c r="E276" i="2"/>
  <c r="D276" i="2"/>
  <c r="C276" i="2"/>
  <c r="B276" i="2"/>
  <c r="A276" i="2"/>
  <c r="G275" i="2"/>
  <c r="F275" i="2"/>
  <c r="E275" i="2"/>
  <c r="D275" i="2"/>
  <c r="C275" i="2"/>
  <c r="B275" i="2"/>
  <c r="A275" i="2"/>
  <c r="G274" i="2"/>
  <c r="F274" i="2"/>
  <c r="E274" i="2"/>
  <c r="D274" i="2"/>
  <c r="C274" i="2"/>
  <c r="B274" i="2"/>
  <c r="A274" i="2"/>
  <c r="G273" i="2"/>
  <c r="F273" i="2"/>
  <c r="E273" i="2"/>
  <c r="D273" i="2"/>
  <c r="C273" i="2"/>
  <c r="B273" i="2"/>
  <c r="A273" i="2"/>
  <c r="G272" i="2"/>
  <c r="F272" i="2"/>
  <c r="E272" i="2"/>
  <c r="D272" i="2"/>
  <c r="C272" i="2"/>
  <c r="B272" i="2"/>
  <c r="A272" i="2"/>
  <c r="G271" i="2"/>
  <c r="F271" i="2"/>
  <c r="E271" i="2"/>
  <c r="D271" i="2"/>
  <c r="C271" i="2"/>
  <c r="B271" i="2"/>
  <c r="A271" i="2"/>
  <c r="G270" i="2"/>
  <c r="F270" i="2"/>
  <c r="E270" i="2"/>
  <c r="D270" i="2"/>
  <c r="C270" i="2"/>
  <c r="B270" i="2"/>
  <c r="A270" i="2"/>
  <c r="G269" i="2"/>
  <c r="F269" i="2"/>
  <c r="E269" i="2"/>
  <c r="D269" i="2"/>
  <c r="C269" i="2"/>
  <c r="B269" i="2"/>
  <c r="A269" i="2"/>
  <c r="G268" i="2"/>
  <c r="F268" i="2"/>
  <c r="E268" i="2"/>
  <c r="D268" i="2"/>
  <c r="C268" i="2"/>
  <c r="B268" i="2"/>
  <c r="A268" i="2"/>
  <c r="G267" i="2"/>
  <c r="F267" i="2"/>
  <c r="E267" i="2"/>
  <c r="D267" i="2"/>
  <c r="C267" i="2"/>
  <c r="B267" i="2"/>
  <c r="A267" i="2"/>
  <c r="G266" i="2"/>
  <c r="F266" i="2"/>
  <c r="E266" i="2"/>
  <c r="D266" i="2"/>
  <c r="C266" i="2"/>
  <c r="B266" i="2"/>
  <c r="A266" i="2"/>
  <c r="G265" i="2"/>
  <c r="F265" i="2"/>
  <c r="E265" i="2"/>
  <c r="D265" i="2"/>
  <c r="C265" i="2"/>
  <c r="B265" i="2"/>
  <c r="A265" i="2"/>
  <c r="G264" i="2"/>
  <c r="F264" i="2"/>
  <c r="E264" i="2"/>
  <c r="D264" i="2"/>
  <c r="C264" i="2"/>
  <c r="B264" i="2"/>
  <c r="A264" i="2"/>
  <c r="G263" i="2"/>
  <c r="F263" i="2"/>
  <c r="E263" i="2"/>
  <c r="D263" i="2"/>
  <c r="C263" i="2"/>
  <c r="B263" i="2"/>
  <c r="A263" i="2"/>
  <c r="G262" i="2"/>
  <c r="F262" i="2"/>
  <c r="E262" i="2"/>
  <c r="D262" i="2"/>
  <c r="C262" i="2"/>
  <c r="B262" i="2"/>
  <c r="A262" i="2"/>
  <c r="G261" i="2"/>
  <c r="F261" i="2"/>
  <c r="E261" i="2"/>
  <c r="D261" i="2"/>
  <c r="C261" i="2"/>
  <c r="B261" i="2"/>
  <c r="A261" i="2"/>
  <c r="G260" i="2"/>
  <c r="F260" i="2"/>
  <c r="E260" i="2"/>
  <c r="D260" i="2"/>
  <c r="C260" i="2"/>
  <c r="B260" i="2"/>
  <c r="A260" i="2"/>
  <c r="G259" i="2"/>
  <c r="F259" i="2"/>
  <c r="E259" i="2"/>
  <c r="D259" i="2"/>
  <c r="C259" i="2"/>
  <c r="B259" i="2"/>
  <c r="A259" i="2"/>
  <c r="G258" i="2"/>
  <c r="F258" i="2"/>
  <c r="E258" i="2"/>
  <c r="D258" i="2"/>
  <c r="C258" i="2"/>
  <c r="B258" i="2"/>
  <c r="A258" i="2"/>
  <c r="G257" i="2"/>
  <c r="F257" i="2"/>
  <c r="E257" i="2"/>
  <c r="D257" i="2"/>
  <c r="C257" i="2"/>
  <c r="B257" i="2"/>
  <c r="A257" i="2"/>
  <c r="G256" i="2"/>
  <c r="F256" i="2"/>
  <c r="E256" i="2"/>
  <c r="D256" i="2"/>
  <c r="C256" i="2"/>
  <c r="B256" i="2"/>
  <c r="A256" i="2"/>
  <c r="G255" i="2"/>
  <c r="F255" i="2"/>
  <c r="E255" i="2"/>
  <c r="D255" i="2"/>
  <c r="C255" i="2"/>
  <c r="B255" i="2"/>
  <c r="A255" i="2"/>
  <c r="G254" i="2"/>
  <c r="F254" i="2"/>
  <c r="E254" i="2"/>
  <c r="D254" i="2"/>
  <c r="C254" i="2"/>
  <c r="B254" i="2"/>
  <c r="A254" i="2"/>
  <c r="G253" i="2"/>
  <c r="F253" i="2"/>
  <c r="E253" i="2"/>
  <c r="D253" i="2"/>
  <c r="C253" i="2"/>
  <c r="B253" i="2"/>
  <c r="A253" i="2"/>
  <c r="G252" i="2"/>
  <c r="F252" i="2"/>
  <c r="E252" i="2"/>
  <c r="D252" i="2"/>
  <c r="C252" i="2"/>
  <c r="B252" i="2"/>
  <c r="A252" i="2"/>
  <c r="G251" i="2"/>
  <c r="F251" i="2"/>
  <c r="E251" i="2"/>
  <c r="D251" i="2"/>
  <c r="C251" i="2"/>
  <c r="B251" i="2"/>
  <c r="A251" i="2"/>
  <c r="G250" i="2"/>
  <c r="F250" i="2"/>
  <c r="E250" i="2"/>
  <c r="D250" i="2"/>
  <c r="C250" i="2"/>
  <c r="B250" i="2"/>
  <c r="A250" i="2"/>
  <c r="G249" i="2"/>
  <c r="F249" i="2"/>
  <c r="E249" i="2"/>
  <c r="D249" i="2"/>
  <c r="C249" i="2"/>
  <c r="B249" i="2"/>
  <c r="A249" i="2"/>
  <c r="G248" i="2"/>
  <c r="F248" i="2"/>
  <c r="E248" i="2"/>
  <c r="D248" i="2"/>
  <c r="C248" i="2"/>
  <c r="B248" i="2"/>
  <c r="A248" i="2"/>
  <c r="G247" i="2"/>
  <c r="F247" i="2"/>
  <c r="E247" i="2"/>
  <c r="D247" i="2"/>
  <c r="C247" i="2"/>
  <c r="B247" i="2"/>
  <c r="A247" i="2"/>
  <c r="G246" i="2"/>
  <c r="F246" i="2"/>
  <c r="E246" i="2"/>
  <c r="D246" i="2"/>
  <c r="C246" i="2"/>
  <c r="B246" i="2"/>
  <c r="A246" i="2"/>
  <c r="G245" i="2"/>
  <c r="F245" i="2"/>
  <c r="E245" i="2"/>
  <c r="D245" i="2"/>
  <c r="C245" i="2"/>
  <c r="B245" i="2"/>
  <c r="A245" i="2"/>
  <c r="G244" i="2"/>
  <c r="F244" i="2"/>
  <c r="E244" i="2"/>
  <c r="D244" i="2"/>
  <c r="C244" i="2"/>
  <c r="B244" i="2"/>
  <c r="A244" i="2"/>
  <c r="G243" i="2"/>
  <c r="F243" i="2"/>
  <c r="E243" i="2"/>
  <c r="D243" i="2"/>
  <c r="C243" i="2"/>
  <c r="B243" i="2"/>
  <c r="A243" i="2"/>
  <c r="G242" i="2"/>
  <c r="F242" i="2"/>
  <c r="E242" i="2"/>
  <c r="D242" i="2"/>
  <c r="C242" i="2"/>
  <c r="B242" i="2"/>
  <c r="A242" i="2"/>
  <c r="G241" i="2"/>
  <c r="F241" i="2"/>
  <c r="E241" i="2"/>
  <c r="D241" i="2"/>
  <c r="C241" i="2"/>
  <c r="B241" i="2"/>
  <c r="A241" i="2"/>
  <c r="G240" i="2"/>
  <c r="F240" i="2"/>
  <c r="E240" i="2"/>
  <c r="D240" i="2"/>
  <c r="C240" i="2"/>
  <c r="B240" i="2"/>
  <c r="A240" i="2"/>
  <c r="G239" i="2"/>
  <c r="F239" i="2"/>
  <c r="E239" i="2"/>
  <c r="D239" i="2"/>
  <c r="C239" i="2"/>
  <c r="B239" i="2"/>
  <c r="A239" i="2"/>
  <c r="G238" i="2"/>
  <c r="F238" i="2"/>
  <c r="E238" i="2"/>
  <c r="D238" i="2"/>
  <c r="C238" i="2"/>
  <c r="B238" i="2"/>
  <c r="A238" i="2"/>
  <c r="G237" i="2"/>
  <c r="F237" i="2"/>
  <c r="E237" i="2"/>
  <c r="D237" i="2"/>
  <c r="C237" i="2"/>
  <c r="B237" i="2"/>
  <c r="A237" i="2"/>
  <c r="G236" i="2"/>
  <c r="F236" i="2"/>
  <c r="E236" i="2"/>
  <c r="D236" i="2"/>
  <c r="C236" i="2"/>
  <c r="B236" i="2"/>
  <c r="A236" i="2"/>
  <c r="G235" i="2"/>
  <c r="F235" i="2"/>
  <c r="E235" i="2"/>
  <c r="D235" i="2"/>
  <c r="C235" i="2"/>
  <c r="B235" i="2"/>
  <c r="A235" i="2"/>
  <c r="G234" i="2"/>
  <c r="F234" i="2"/>
  <c r="E234" i="2"/>
  <c r="D234" i="2"/>
  <c r="C234" i="2"/>
  <c r="B234" i="2"/>
  <c r="A234" i="2"/>
  <c r="G233" i="2"/>
  <c r="F233" i="2"/>
  <c r="E233" i="2"/>
  <c r="D233" i="2"/>
  <c r="C233" i="2"/>
  <c r="B233" i="2"/>
  <c r="A233" i="2"/>
  <c r="G232" i="2"/>
  <c r="F232" i="2"/>
  <c r="E232" i="2"/>
  <c r="D232" i="2"/>
  <c r="C232" i="2"/>
  <c r="B232" i="2"/>
  <c r="A232" i="2"/>
  <c r="G231" i="2"/>
  <c r="F231" i="2"/>
  <c r="E231" i="2"/>
  <c r="D231" i="2"/>
  <c r="C231" i="2"/>
  <c r="B231" i="2"/>
  <c r="A231" i="2"/>
  <c r="G230" i="2"/>
  <c r="F230" i="2"/>
  <c r="E230" i="2"/>
  <c r="D230" i="2"/>
  <c r="C230" i="2"/>
  <c r="B230" i="2"/>
  <c r="A230" i="2"/>
  <c r="G229" i="2"/>
  <c r="F229" i="2"/>
  <c r="E229" i="2"/>
  <c r="D229" i="2"/>
  <c r="C229" i="2"/>
  <c r="B229" i="2"/>
  <c r="A229" i="2"/>
  <c r="G228" i="2"/>
  <c r="F228" i="2"/>
  <c r="E228" i="2"/>
  <c r="D228" i="2"/>
  <c r="C228" i="2"/>
  <c r="B228" i="2"/>
  <c r="A228" i="2"/>
  <c r="G227" i="2"/>
  <c r="F227" i="2"/>
  <c r="E227" i="2"/>
  <c r="D227" i="2"/>
  <c r="C227" i="2"/>
  <c r="B227" i="2"/>
  <c r="A227" i="2"/>
  <c r="G226" i="2"/>
  <c r="F226" i="2"/>
  <c r="E226" i="2"/>
  <c r="D226" i="2"/>
  <c r="C226" i="2"/>
  <c r="B226" i="2"/>
  <c r="A226" i="2"/>
  <c r="G225" i="2"/>
  <c r="F225" i="2"/>
  <c r="E225" i="2"/>
  <c r="D225" i="2"/>
  <c r="C225" i="2"/>
  <c r="B225" i="2"/>
  <c r="A225" i="2"/>
  <c r="G224" i="2"/>
  <c r="F224" i="2"/>
  <c r="E224" i="2"/>
  <c r="D224" i="2"/>
  <c r="C224" i="2"/>
  <c r="B224" i="2"/>
  <c r="A224" i="2"/>
  <c r="G223" i="2"/>
  <c r="F223" i="2"/>
  <c r="E223" i="2"/>
  <c r="D223" i="2"/>
  <c r="C223" i="2"/>
  <c r="B223" i="2"/>
  <c r="A223" i="2"/>
  <c r="G222" i="2"/>
  <c r="F222" i="2"/>
  <c r="E222" i="2"/>
  <c r="D222" i="2"/>
  <c r="C222" i="2"/>
  <c r="B222" i="2"/>
  <c r="A222" i="2"/>
  <c r="G221" i="2"/>
  <c r="F221" i="2"/>
  <c r="E221" i="2"/>
  <c r="D221" i="2"/>
  <c r="C221" i="2"/>
  <c r="B221" i="2"/>
  <c r="A221" i="2"/>
  <c r="G220" i="2"/>
  <c r="F220" i="2"/>
  <c r="E220" i="2"/>
  <c r="D220" i="2"/>
  <c r="C220" i="2"/>
  <c r="B220" i="2"/>
  <c r="A220" i="2"/>
  <c r="G219" i="2"/>
  <c r="F219" i="2"/>
  <c r="E219" i="2"/>
  <c r="D219" i="2"/>
  <c r="C219" i="2"/>
  <c r="B219" i="2"/>
  <c r="A219" i="2"/>
  <c r="G218" i="2"/>
  <c r="F218" i="2"/>
  <c r="E218" i="2"/>
  <c r="D218" i="2"/>
  <c r="C218" i="2"/>
  <c r="B218" i="2"/>
  <c r="A218" i="2"/>
  <c r="G217" i="2"/>
  <c r="F217" i="2"/>
  <c r="E217" i="2"/>
  <c r="D217" i="2"/>
  <c r="C217" i="2"/>
  <c r="B217" i="2"/>
  <c r="A217" i="2"/>
  <c r="G216" i="2"/>
  <c r="F216" i="2"/>
  <c r="E216" i="2"/>
  <c r="D216" i="2"/>
  <c r="C216" i="2"/>
  <c r="B216" i="2"/>
  <c r="A216" i="2"/>
  <c r="G215" i="2"/>
  <c r="F215" i="2"/>
  <c r="E215" i="2"/>
  <c r="D215" i="2"/>
  <c r="C215" i="2"/>
  <c r="B215" i="2"/>
  <c r="A215" i="2"/>
  <c r="G214" i="2"/>
  <c r="F214" i="2"/>
  <c r="E214" i="2"/>
  <c r="D214" i="2"/>
  <c r="C214" i="2"/>
  <c r="B214" i="2"/>
  <c r="A214" i="2"/>
  <c r="G213" i="2"/>
  <c r="F213" i="2"/>
  <c r="E213" i="2"/>
  <c r="D213" i="2"/>
  <c r="C213" i="2"/>
  <c r="B213" i="2"/>
  <c r="A213" i="2"/>
  <c r="G212" i="2"/>
  <c r="F212" i="2"/>
  <c r="E212" i="2"/>
  <c r="D212" i="2"/>
  <c r="C212" i="2"/>
  <c r="B212" i="2"/>
  <c r="A212" i="2"/>
  <c r="G211" i="2"/>
  <c r="F211" i="2"/>
  <c r="E211" i="2"/>
  <c r="D211" i="2"/>
  <c r="C211" i="2"/>
  <c r="B211" i="2"/>
  <c r="A211" i="2"/>
  <c r="G210" i="2"/>
  <c r="F210" i="2"/>
  <c r="E210" i="2"/>
  <c r="D210" i="2"/>
  <c r="C210" i="2"/>
  <c r="B210" i="2"/>
  <c r="A210" i="2"/>
  <c r="G209" i="2"/>
  <c r="F209" i="2"/>
  <c r="E209" i="2"/>
  <c r="D209" i="2"/>
  <c r="C209" i="2"/>
  <c r="B209" i="2"/>
  <c r="A209" i="2"/>
  <c r="G208" i="2"/>
  <c r="F208" i="2"/>
  <c r="E208" i="2"/>
  <c r="D208" i="2"/>
  <c r="C208" i="2"/>
  <c r="B208" i="2"/>
  <c r="A208" i="2"/>
  <c r="G207" i="2"/>
  <c r="F207" i="2"/>
  <c r="E207" i="2"/>
  <c r="D207" i="2"/>
  <c r="C207" i="2"/>
  <c r="B207" i="2"/>
  <c r="A207" i="2"/>
  <c r="G206" i="2"/>
  <c r="F206" i="2"/>
  <c r="E206" i="2"/>
  <c r="D206" i="2"/>
  <c r="C206" i="2"/>
  <c r="B206" i="2"/>
  <c r="A206" i="2"/>
  <c r="G205" i="2"/>
  <c r="F205" i="2"/>
  <c r="E205" i="2"/>
  <c r="D205" i="2"/>
  <c r="C205" i="2"/>
  <c r="B205" i="2"/>
  <c r="A205" i="2"/>
  <c r="G204" i="2"/>
  <c r="F204" i="2"/>
  <c r="E204" i="2"/>
  <c r="D204" i="2"/>
  <c r="C204" i="2"/>
  <c r="B204" i="2"/>
  <c r="A204" i="2"/>
  <c r="G203" i="2"/>
  <c r="F203" i="2"/>
  <c r="E203" i="2"/>
  <c r="D203" i="2"/>
  <c r="C203" i="2"/>
  <c r="B203" i="2"/>
  <c r="A203" i="2"/>
  <c r="G202" i="2"/>
  <c r="F202" i="2"/>
  <c r="E202" i="2"/>
  <c r="D202" i="2"/>
  <c r="C202" i="2"/>
  <c r="B202" i="2"/>
  <c r="A202" i="2"/>
  <c r="G201" i="2"/>
  <c r="F201" i="2"/>
  <c r="E201" i="2"/>
  <c r="D201" i="2"/>
  <c r="C201" i="2"/>
  <c r="B201" i="2"/>
  <c r="A201" i="2"/>
  <c r="G200" i="2"/>
  <c r="F200" i="2"/>
  <c r="E200" i="2"/>
  <c r="D200" i="2"/>
  <c r="C200" i="2"/>
  <c r="B200" i="2"/>
  <c r="A200" i="2"/>
  <c r="G199" i="2"/>
  <c r="F199" i="2"/>
  <c r="E199" i="2"/>
  <c r="D199" i="2"/>
  <c r="C199" i="2"/>
  <c r="B199" i="2"/>
  <c r="A199" i="2"/>
  <c r="G198" i="2"/>
  <c r="F198" i="2"/>
  <c r="E198" i="2"/>
  <c r="D198" i="2"/>
  <c r="C198" i="2"/>
  <c r="B198" i="2"/>
  <c r="A198" i="2"/>
  <c r="G197" i="2"/>
  <c r="F197" i="2"/>
  <c r="E197" i="2"/>
  <c r="D197" i="2"/>
  <c r="C197" i="2"/>
  <c r="B197" i="2"/>
  <c r="A197" i="2"/>
  <c r="G196" i="2"/>
  <c r="F196" i="2"/>
  <c r="E196" i="2"/>
  <c r="D196" i="2"/>
  <c r="C196" i="2"/>
  <c r="B196" i="2"/>
  <c r="A196" i="2"/>
  <c r="G195" i="2"/>
  <c r="F195" i="2"/>
  <c r="E195" i="2"/>
  <c r="D195" i="2"/>
  <c r="C195" i="2"/>
  <c r="B195" i="2"/>
  <c r="A195" i="2"/>
  <c r="G194" i="2"/>
  <c r="F194" i="2"/>
  <c r="E194" i="2"/>
  <c r="D194" i="2"/>
  <c r="C194" i="2"/>
  <c r="B194" i="2"/>
  <c r="A194" i="2"/>
  <c r="G193" i="2"/>
  <c r="F193" i="2"/>
  <c r="E193" i="2"/>
  <c r="D193" i="2"/>
  <c r="C193" i="2"/>
  <c r="B193" i="2"/>
  <c r="A193" i="2"/>
  <c r="G192" i="2"/>
  <c r="F192" i="2"/>
  <c r="E192" i="2"/>
  <c r="D192" i="2"/>
  <c r="C192" i="2"/>
  <c r="B192" i="2"/>
  <c r="A192" i="2"/>
  <c r="G191" i="2"/>
  <c r="F191" i="2"/>
  <c r="E191" i="2"/>
  <c r="D191" i="2"/>
  <c r="C191" i="2"/>
  <c r="B191" i="2"/>
  <c r="A191" i="2"/>
  <c r="G190" i="2"/>
  <c r="F190" i="2"/>
  <c r="E190" i="2"/>
  <c r="D190" i="2"/>
  <c r="C190" i="2"/>
  <c r="B190" i="2"/>
  <c r="A190" i="2"/>
  <c r="G189" i="2"/>
  <c r="F189" i="2"/>
  <c r="E189" i="2"/>
  <c r="D189" i="2"/>
  <c r="C189" i="2"/>
  <c r="B189" i="2"/>
  <c r="A189" i="2"/>
  <c r="G188" i="2"/>
  <c r="F188" i="2"/>
  <c r="E188" i="2"/>
  <c r="D188" i="2"/>
  <c r="C188" i="2"/>
  <c r="B188" i="2"/>
  <c r="A188" i="2"/>
  <c r="G187" i="2"/>
  <c r="F187" i="2"/>
  <c r="E187" i="2"/>
  <c r="D187" i="2"/>
  <c r="C187" i="2"/>
  <c r="B187" i="2"/>
  <c r="A187" i="2"/>
  <c r="G186" i="2"/>
  <c r="F186" i="2"/>
  <c r="E186" i="2"/>
  <c r="D186" i="2"/>
  <c r="C186" i="2"/>
  <c r="B186" i="2"/>
  <c r="A186" i="2"/>
  <c r="G185" i="2"/>
  <c r="F185" i="2"/>
  <c r="E185" i="2"/>
  <c r="D185" i="2"/>
  <c r="C185" i="2"/>
  <c r="B185" i="2"/>
  <c r="A185" i="2"/>
  <c r="G184" i="2"/>
  <c r="F184" i="2"/>
  <c r="E184" i="2"/>
  <c r="D184" i="2"/>
  <c r="C184" i="2"/>
  <c r="B184" i="2"/>
  <c r="A184" i="2"/>
  <c r="G183" i="2"/>
  <c r="F183" i="2"/>
  <c r="E183" i="2"/>
  <c r="D183" i="2"/>
  <c r="C183" i="2"/>
  <c r="B183" i="2"/>
  <c r="A183" i="2"/>
  <c r="G182" i="2"/>
  <c r="F182" i="2"/>
  <c r="E182" i="2"/>
  <c r="D182" i="2"/>
  <c r="C182" i="2"/>
  <c r="B182" i="2"/>
  <c r="A182" i="2"/>
  <c r="G181" i="2"/>
  <c r="F181" i="2"/>
  <c r="E181" i="2"/>
  <c r="D181" i="2"/>
  <c r="C181" i="2"/>
  <c r="B181" i="2"/>
  <c r="A181" i="2"/>
  <c r="G180" i="2"/>
  <c r="F180" i="2"/>
  <c r="E180" i="2"/>
  <c r="D180" i="2"/>
  <c r="C180" i="2"/>
  <c r="B180" i="2"/>
  <c r="A180" i="2"/>
  <c r="G179" i="2"/>
  <c r="F179" i="2"/>
  <c r="E179" i="2"/>
  <c r="D179" i="2"/>
  <c r="C179" i="2"/>
  <c r="B179" i="2"/>
  <c r="A179" i="2"/>
  <c r="G178" i="2"/>
  <c r="F178" i="2"/>
  <c r="E178" i="2"/>
  <c r="D178" i="2"/>
  <c r="C178" i="2"/>
  <c r="B178" i="2"/>
  <c r="A178" i="2"/>
  <c r="G177" i="2"/>
  <c r="F177" i="2"/>
  <c r="E177" i="2"/>
  <c r="D177" i="2"/>
  <c r="C177" i="2"/>
  <c r="B177" i="2"/>
  <c r="A177" i="2"/>
  <c r="G176" i="2"/>
  <c r="F176" i="2"/>
  <c r="E176" i="2"/>
  <c r="D176" i="2"/>
  <c r="C176" i="2"/>
  <c r="B176" i="2"/>
  <c r="A176" i="2"/>
  <c r="G175" i="2"/>
  <c r="F175" i="2"/>
  <c r="E175" i="2"/>
  <c r="D175" i="2"/>
  <c r="C175" i="2"/>
  <c r="B175" i="2"/>
  <c r="A175" i="2"/>
  <c r="G174" i="2"/>
  <c r="F174" i="2"/>
  <c r="E174" i="2"/>
  <c r="D174" i="2"/>
  <c r="C174" i="2"/>
  <c r="B174" i="2"/>
  <c r="A174" i="2"/>
  <c r="G173" i="2"/>
  <c r="F173" i="2"/>
  <c r="E173" i="2"/>
  <c r="D173" i="2"/>
  <c r="C173" i="2"/>
  <c r="B173" i="2"/>
  <c r="A173" i="2"/>
  <c r="G172" i="2"/>
  <c r="F172" i="2"/>
  <c r="E172" i="2"/>
  <c r="D172" i="2"/>
  <c r="C172" i="2"/>
  <c r="B172" i="2"/>
  <c r="A172" i="2"/>
  <c r="G171" i="2"/>
  <c r="F171" i="2"/>
  <c r="E171" i="2"/>
  <c r="D171" i="2"/>
  <c r="C171" i="2"/>
  <c r="B171" i="2"/>
  <c r="A171" i="2"/>
  <c r="G170" i="2"/>
  <c r="F170" i="2"/>
  <c r="E170" i="2"/>
  <c r="D170" i="2"/>
  <c r="C170" i="2"/>
  <c r="B170" i="2"/>
  <c r="A170" i="2"/>
  <c r="G169" i="2"/>
  <c r="F169" i="2"/>
  <c r="E169" i="2"/>
  <c r="D169" i="2"/>
  <c r="C169" i="2"/>
  <c r="B169" i="2"/>
  <c r="A169" i="2"/>
  <c r="G168" i="2"/>
  <c r="F168" i="2"/>
  <c r="E168" i="2"/>
  <c r="D168" i="2"/>
  <c r="C168" i="2"/>
  <c r="B168" i="2"/>
  <c r="A168" i="2"/>
  <c r="G167" i="2"/>
  <c r="F167" i="2"/>
  <c r="E167" i="2"/>
  <c r="D167" i="2"/>
  <c r="C167" i="2"/>
  <c r="B167" i="2"/>
  <c r="A167" i="2"/>
  <c r="G166" i="2"/>
  <c r="F166" i="2"/>
  <c r="E166" i="2"/>
  <c r="D166" i="2"/>
  <c r="C166" i="2"/>
  <c r="B166" i="2"/>
  <c r="A166" i="2"/>
  <c r="G165" i="2"/>
  <c r="F165" i="2"/>
  <c r="E165" i="2"/>
  <c r="D165" i="2"/>
  <c r="C165" i="2"/>
  <c r="B165" i="2"/>
  <c r="A165" i="2"/>
  <c r="G164" i="2"/>
  <c r="F164" i="2"/>
  <c r="E164" i="2"/>
  <c r="D164" i="2"/>
  <c r="C164" i="2"/>
  <c r="B164" i="2"/>
  <c r="A164" i="2"/>
  <c r="G163" i="2"/>
  <c r="F163" i="2"/>
  <c r="E163" i="2"/>
  <c r="D163" i="2"/>
  <c r="C163" i="2"/>
  <c r="B163" i="2"/>
  <c r="A163" i="2"/>
  <c r="G162" i="2"/>
  <c r="F162" i="2"/>
  <c r="E162" i="2"/>
  <c r="D162" i="2"/>
  <c r="C162" i="2"/>
  <c r="B162" i="2"/>
  <c r="A162" i="2"/>
  <c r="G161" i="2"/>
  <c r="F161" i="2"/>
  <c r="E161" i="2"/>
  <c r="D161" i="2"/>
  <c r="C161" i="2"/>
  <c r="B161" i="2"/>
  <c r="A161" i="2"/>
  <c r="G160" i="2"/>
  <c r="F160" i="2"/>
  <c r="E160" i="2"/>
  <c r="D160" i="2"/>
  <c r="C160" i="2"/>
  <c r="B160" i="2"/>
  <c r="A160" i="2"/>
  <c r="G159" i="2"/>
  <c r="F159" i="2"/>
  <c r="E159" i="2"/>
  <c r="D159" i="2"/>
  <c r="C159" i="2"/>
  <c r="B159" i="2"/>
  <c r="A159" i="2"/>
  <c r="G158" i="2"/>
  <c r="F158" i="2"/>
  <c r="E158" i="2"/>
  <c r="D158" i="2"/>
  <c r="C158" i="2"/>
  <c r="B158" i="2"/>
  <c r="A158" i="2"/>
  <c r="G157" i="2"/>
  <c r="F157" i="2"/>
  <c r="E157" i="2"/>
  <c r="D157" i="2"/>
  <c r="C157" i="2"/>
  <c r="B157" i="2"/>
  <c r="A157" i="2"/>
  <c r="G156" i="2"/>
  <c r="F156" i="2"/>
  <c r="E156" i="2"/>
  <c r="D156" i="2"/>
  <c r="C156" i="2"/>
  <c r="B156" i="2"/>
  <c r="A156" i="2"/>
  <c r="G155" i="2"/>
  <c r="F155" i="2"/>
  <c r="E155" i="2"/>
  <c r="D155" i="2"/>
  <c r="C155" i="2"/>
  <c r="B155" i="2"/>
  <c r="A155" i="2"/>
  <c r="G154" i="2"/>
  <c r="F154" i="2"/>
  <c r="E154" i="2"/>
  <c r="D154" i="2"/>
  <c r="C154" i="2"/>
  <c r="B154" i="2"/>
  <c r="A154" i="2"/>
  <c r="G153" i="2"/>
  <c r="F153" i="2"/>
  <c r="E153" i="2"/>
  <c r="D153" i="2"/>
  <c r="C153" i="2"/>
  <c r="B153" i="2"/>
  <c r="A153" i="2"/>
  <c r="G152" i="2"/>
  <c r="F152" i="2"/>
  <c r="E152" i="2"/>
  <c r="D152" i="2"/>
  <c r="C152" i="2"/>
  <c r="B152" i="2"/>
  <c r="A152" i="2"/>
  <c r="G151" i="2"/>
  <c r="F151" i="2"/>
  <c r="E151" i="2"/>
  <c r="D151" i="2"/>
  <c r="C151" i="2"/>
  <c r="B151" i="2"/>
  <c r="A151" i="2"/>
  <c r="G150" i="2"/>
  <c r="F150" i="2"/>
  <c r="E150" i="2"/>
  <c r="D150" i="2"/>
  <c r="C150" i="2"/>
  <c r="B150" i="2"/>
  <c r="A150" i="2"/>
  <c r="G149" i="2"/>
  <c r="F149" i="2"/>
  <c r="E149" i="2"/>
  <c r="D149" i="2"/>
  <c r="C149" i="2"/>
  <c r="B149" i="2"/>
  <c r="A149" i="2"/>
  <c r="G148" i="2"/>
  <c r="F148" i="2"/>
  <c r="E148" i="2"/>
  <c r="D148" i="2"/>
  <c r="C148" i="2"/>
  <c r="B148" i="2"/>
  <c r="A148" i="2"/>
  <c r="G147" i="2"/>
  <c r="F147" i="2"/>
  <c r="E147" i="2"/>
  <c r="D147" i="2"/>
  <c r="C147" i="2"/>
  <c r="B147" i="2"/>
  <c r="A147" i="2"/>
  <c r="G146" i="2"/>
  <c r="F146" i="2"/>
  <c r="E146" i="2"/>
  <c r="D146" i="2"/>
  <c r="C146" i="2"/>
  <c r="B146" i="2"/>
  <c r="A146" i="2"/>
  <c r="G145" i="2"/>
  <c r="F145" i="2"/>
  <c r="E145" i="2"/>
  <c r="D145" i="2"/>
  <c r="C145" i="2"/>
  <c r="B145" i="2"/>
  <c r="A145" i="2"/>
  <c r="G144" i="2"/>
  <c r="F144" i="2"/>
  <c r="E144" i="2"/>
  <c r="D144" i="2"/>
  <c r="C144" i="2"/>
  <c r="B144" i="2"/>
  <c r="A144" i="2"/>
  <c r="G143" i="2"/>
  <c r="F143" i="2"/>
  <c r="E143" i="2"/>
  <c r="D143" i="2"/>
  <c r="C143" i="2"/>
  <c r="B143" i="2"/>
  <c r="A143" i="2"/>
  <c r="G142" i="2"/>
  <c r="F142" i="2"/>
  <c r="E142" i="2"/>
  <c r="D142" i="2"/>
  <c r="C142" i="2"/>
  <c r="B142" i="2"/>
  <c r="A142" i="2"/>
  <c r="G141" i="2"/>
  <c r="F141" i="2"/>
  <c r="E141" i="2"/>
  <c r="D141" i="2"/>
  <c r="C141" i="2"/>
  <c r="B141" i="2"/>
  <c r="A141" i="2"/>
  <c r="G140" i="2"/>
  <c r="F140" i="2"/>
  <c r="E140" i="2"/>
  <c r="D140" i="2"/>
  <c r="C140" i="2"/>
  <c r="B140" i="2"/>
  <c r="A140" i="2"/>
  <c r="G139" i="2"/>
  <c r="F139" i="2"/>
  <c r="E139" i="2"/>
  <c r="D139" i="2"/>
  <c r="C139" i="2"/>
  <c r="B139" i="2"/>
  <c r="A139" i="2"/>
  <c r="G138" i="2"/>
  <c r="F138" i="2"/>
  <c r="E138" i="2"/>
  <c r="D138" i="2"/>
  <c r="C138" i="2"/>
  <c r="B138" i="2"/>
  <c r="A138" i="2"/>
  <c r="G137" i="2"/>
  <c r="F137" i="2"/>
  <c r="E137" i="2"/>
  <c r="D137" i="2"/>
  <c r="C137" i="2"/>
  <c r="B137" i="2"/>
  <c r="A137" i="2"/>
  <c r="G136" i="2"/>
  <c r="F136" i="2"/>
  <c r="E136" i="2"/>
  <c r="D136" i="2"/>
  <c r="C136" i="2"/>
  <c r="B136" i="2"/>
  <c r="A136" i="2"/>
  <c r="G135" i="2"/>
  <c r="F135" i="2"/>
  <c r="E135" i="2"/>
  <c r="D135" i="2"/>
  <c r="C135" i="2"/>
  <c r="B135" i="2"/>
  <c r="A135" i="2"/>
  <c r="G134" i="2"/>
  <c r="F134" i="2"/>
  <c r="E134" i="2"/>
  <c r="D134" i="2"/>
  <c r="C134" i="2"/>
  <c r="B134" i="2"/>
  <c r="A134" i="2"/>
  <c r="G133" i="2"/>
  <c r="F133" i="2"/>
  <c r="E133" i="2"/>
  <c r="D133" i="2"/>
  <c r="C133" i="2"/>
  <c r="B133" i="2"/>
  <c r="A133" i="2"/>
  <c r="G132" i="2"/>
  <c r="F132" i="2"/>
  <c r="E132" i="2"/>
  <c r="D132" i="2"/>
  <c r="C132" i="2"/>
  <c r="B132" i="2"/>
  <c r="A132" i="2"/>
  <c r="G131" i="2"/>
  <c r="F131" i="2"/>
  <c r="E131" i="2"/>
  <c r="D131" i="2"/>
  <c r="C131" i="2"/>
  <c r="B131" i="2"/>
  <c r="A131" i="2"/>
  <c r="G130" i="2"/>
  <c r="F130" i="2"/>
  <c r="E130" i="2"/>
  <c r="D130" i="2"/>
  <c r="C130" i="2"/>
  <c r="B130" i="2"/>
  <c r="A130" i="2"/>
  <c r="G129" i="2"/>
  <c r="F129" i="2"/>
  <c r="E129" i="2"/>
  <c r="D129" i="2"/>
  <c r="C129" i="2"/>
  <c r="B129" i="2"/>
  <c r="A129" i="2"/>
  <c r="G128" i="2"/>
  <c r="F128" i="2"/>
  <c r="E128" i="2"/>
  <c r="D128" i="2"/>
  <c r="C128" i="2"/>
  <c r="B128" i="2"/>
  <c r="A128" i="2"/>
  <c r="G127" i="2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B125" i="2"/>
  <c r="A125" i="2"/>
  <c r="G124" i="2"/>
  <c r="F124" i="2"/>
  <c r="E124" i="2"/>
  <c r="D124" i="2"/>
  <c r="C124" i="2"/>
  <c r="B124" i="2"/>
  <c r="A124" i="2"/>
  <c r="G123" i="2"/>
  <c r="F123" i="2"/>
  <c r="E123" i="2"/>
  <c r="D123" i="2"/>
  <c r="C123" i="2"/>
  <c r="B123" i="2"/>
  <c r="A123" i="2"/>
  <c r="G122" i="2"/>
  <c r="F122" i="2"/>
  <c r="E122" i="2"/>
  <c r="D122" i="2"/>
  <c r="C122" i="2"/>
  <c r="B122" i="2"/>
  <c r="A122" i="2"/>
  <c r="G121" i="2"/>
  <c r="F121" i="2"/>
  <c r="E121" i="2"/>
  <c r="D121" i="2"/>
  <c r="C121" i="2"/>
  <c r="B121" i="2"/>
  <c r="A121" i="2"/>
  <c r="G120" i="2"/>
  <c r="F120" i="2"/>
  <c r="E120" i="2"/>
  <c r="D120" i="2"/>
  <c r="C120" i="2"/>
  <c r="B120" i="2"/>
  <c r="A120" i="2"/>
  <c r="G119" i="2"/>
  <c r="F119" i="2"/>
  <c r="E119" i="2"/>
  <c r="D119" i="2"/>
  <c r="C119" i="2"/>
  <c r="B119" i="2"/>
  <c r="A119" i="2"/>
  <c r="G118" i="2"/>
  <c r="F118" i="2"/>
  <c r="E118" i="2"/>
  <c r="D118" i="2"/>
  <c r="C118" i="2"/>
  <c r="B118" i="2"/>
  <c r="A118" i="2"/>
  <c r="G117" i="2"/>
  <c r="F117" i="2"/>
  <c r="E117" i="2"/>
  <c r="D117" i="2"/>
  <c r="C117" i="2"/>
  <c r="B117" i="2"/>
  <c r="A117" i="2"/>
  <c r="G116" i="2"/>
  <c r="F116" i="2"/>
  <c r="E116" i="2"/>
  <c r="D116" i="2"/>
  <c r="C116" i="2"/>
  <c r="B116" i="2"/>
  <c r="A116" i="2"/>
  <c r="G115" i="2"/>
  <c r="F115" i="2"/>
  <c r="E115" i="2"/>
  <c r="D115" i="2"/>
  <c r="C115" i="2"/>
  <c r="B115" i="2"/>
  <c r="A115" i="2"/>
  <c r="G114" i="2"/>
  <c r="F114" i="2"/>
  <c r="E114" i="2"/>
  <c r="D114" i="2"/>
  <c r="C114" i="2"/>
  <c r="B114" i="2"/>
  <c r="A114" i="2"/>
  <c r="G113" i="2"/>
  <c r="F113" i="2"/>
  <c r="E113" i="2"/>
  <c r="D113" i="2"/>
  <c r="C113" i="2"/>
  <c r="B113" i="2"/>
  <c r="A113" i="2"/>
  <c r="G112" i="2"/>
  <c r="F112" i="2"/>
  <c r="E112" i="2"/>
  <c r="D112" i="2"/>
  <c r="C112" i="2"/>
  <c r="B112" i="2"/>
  <c r="A112" i="2"/>
  <c r="G111" i="2"/>
  <c r="F111" i="2"/>
  <c r="E111" i="2"/>
  <c r="D111" i="2"/>
  <c r="C111" i="2"/>
  <c r="B111" i="2"/>
  <c r="A111" i="2"/>
  <c r="G110" i="2"/>
  <c r="F110" i="2"/>
  <c r="E110" i="2"/>
  <c r="D110" i="2"/>
  <c r="C110" i="2"/>
  <c r="B110" i="2"/>
  <c r="A110" i="2"/>
  <c r="G109" i="2"/>
  <c r="F109" i="2"/>
  <c r="E109" i="2"/>
  <c r="D109" i="2"/>
  <c r="C109" i="2"/>
  <c r="B109" i="2"/>
  <c r="A109" i="2"/>
  <c r="G108" i="2"/>
  <c r="F108" i="2"/>
  <c r="E108" i="2"/>
  <c r="D108" i="2"/>
  <c r="C108" i="2"/>
  <c r="B108" i="2"/>
  <c r="A108" i="2"/>
  <c r="G107" i="2"/>
  <c r="F107" i="2"/>
  <c r="E107" i="2"/>
  <c r="D107" i="2"/>
  <c r="C107" i="2"/>
  <c r="B107" i="2"/>
  <c r="A107" i="2"/>
  <c r="G106" i="2"/>
  <c r="F106" i="2"/>
  <c r="E106" i="2"/>
  <c r="D106" i="2"/>
  <c r="C106" i="2"/>
  <c r="B106" i="2"/>
  <c r="A106" i="2"/>
  <c r="G105" i="2"/>
  <c r="F105" i="2"/>
  <c r="E105" i="2"/>
  <c r="D105" i="2"/>
  <c r="C105" i="2"/>
  <c r="B105" i="2"/>
  <c r="A105" i="2"/>
  <c r="G104" i="2"/>
  <c r="F104" i="2"/>
  <c r="E104" i="2"/>
  <c r="D104" i="2"/>
  <c r="C104" i="2"/>
  <c r="B104" i="2"/>
  <c r="A104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B102" i="2"/>
  <c r="A102" i="2"/>
  <c r="G101" i="2"/>
  <c r="F101" i="2"/>
  <c r="E101" i="2"/>
  <c r="D101" i="2"/>
  <c r="C101" i="2"/>
  <c r="B101" i="2"/>
  <c r="A101" i="2"/>
  <c r="G100" i="2"/>
  <c r="F100" i="2"/>
  <c r="E100" i="2"/>
  <c r="D100" i="2"/>
  <c r="C100" i="2"/>
  <c r="B100" i="2"/>
  <c r="A100" i="2"/>
  <c r="G99" i="2"/>
  <c r="F99" i="2"/>
  <c r="E99" i="2"/>
  <c r="D99" i="2"/>
  <c r="C99" i="2"/>
  <c r="B99" i="2"/>
  <c r="A99" i="2"/>
  <c r="G98" i="2"/>
  <c r="F98" i="2"/>
  <c r="E98" i="2"/>
  <c r="D98" i="2"/>
  <c r="C98" i="2"/>
  <c r="B98" i="2"/>
  <c r="A98" i="2"/>
  <c r="G97" i="2"/>
  <c r="F97" i="2"/>
  <c r="E97" i="2"/>
  <c r="D97" i="2"/>
  <c r="C97" i="2"/>
  <c r="B97" i="2"/>
  <c r="A97" i="2"/>
  <c r="G96" i="2"/>
  <c r="F96" i="2"/>
  <c r="E96" i="2"/>
  <c r="D96" i="2"/>
  <c r="C96" i="2"/>
  <c r="B96" i="2"/>
  <c r="A96" i="2"/>
  <c r="G95" i="2"/>
  <c r="F95" i="2"/>
  <c r="E95" i="2"/>
  <c r="D95" i="2"/>
  <c r="C95" i="2"/>
  <c r="B95" i="2"/>
  <c r="A95" i="2"/>
  <c r="G94" i="2"/>
  <c r="F94" i="2"/>
  <c r="E94" i="2"/>
  <c r="D94" i="2"/>
  <c r="C94" i="2"/>
  <c r="B94" i="2"/>
  <c r="A94" i="2"/>
  <c r="G93" i="2"/>
  <c r="F93" i="2"/>
  <c r="E93" i="2"/>
  <c r="D93" i="2"/>
  <c r="C93" i="2"/>
  <c r="B93" i="2"/>
  <c r="A93" i="2"/>
  <c r="G92" i="2"/>
  <c r="F92" i="2"/>
  <c r="E92" i="2"/>
  <c r="D92" i="2"/>
  <c r="C92" i="2"/>
  <c r="B92" i="2"/>
  <c r="A92" i="2"/>
  <c r="G91" i="2"/>
  <c r="F91" i="2"/>
  <c r="E91" i="2"/>
  <c r="D91" i="2"/>
  <c r="C91" i="2"/>
  <c r="B91" i="2"/>
  <c r="A91" i="2"/>
  <c r="G90" i="2"/>
  <c r="F90" i="2"/>
  <c r="E90" i="2"/>
  <c r="D90" i="2"/>
  <c r="C90" i="2"/>
  <c r="B90" i="2"/>
  <c r="A90" i="2"/>
  <c r="G89" i="2"/>
  <c r="F89" i="2"/>
  <c r="E89" i="2"/>
  <c r="D89" i="2"/>
  <c r="C89" i="2"/>
  <c r="B89" i="2"/>
  <c r="A89" i="2"/>
  <c r="G88" i="2"/>
  <c r="F88" i="2"/>
  <c r="E88" i="2"/>
  <c r="D88" i="2"/>
  <c r="C88" i="2"/>
  <c r="B88" i="2"/>
  <c r="A88" i="2"/>
  <c r="G87" i="2"/>
  <c r="F87" i="2"/>
  <c r="E87" i="2"/>
  <c r="D87" i="2"/>
  <c r="C87" i="2"/>
  <c r="B87" i="2"/>
  <c r="A87" i="2"/>
  <c r="G86" i="2"/>
  <c r="F86" i="2"/>
  <c r="E86" i="2"/>
  <c r="D86" i="2"/>
  <c r="C86" i="2"/>
  <c r="B86" i="2"/>
  <c r="A86" i="2"/>
  <c r="G85" i="2"/>
  <c r="F85" i="2"/>
  <c r="E85" i="2"/>
  <c r="D85" i="2"/>
  <c r="C85" i="2"/>
  <c r="B85" i="2"/>
  <c r="A85" i="2"/>
  <c r="G84" i="2"/>
  <c r="F84" i="2"/>
  <c r="E84" i="2"/>
  <c r="D84" i="2"/>
  <c r="C84" i="2"/>
  <c r="B84" i="2"/>
  <c r="A84" i="2"/>
  <c r="G83" i="2"/>
  <c r="F83" i="2"/>
  <c r="E83" i="2"/>
  <c r="D83" i="2"/>
  <c r="C83" i="2"/>
  <c r="B83" i="2"/>
  <c r="A83" i="2"/>
  <c r="G82" i="2"/>
  <c r="F82" i="2"/>
  <c r="E82" i="2"/>
  <c r="D82" i="2"/>
  <c r="C82" i="2"/>
  <c r="B82" i="2"/>
  <c r="A82" i="2"/>
  <c r="G81" i="2"/>
  <c r="F81" i="2"/>
  <c r="E81" i="2"/>
  <c r="D81" i="2"/>
  <c r="C81" i="2"/>
  <c r="B81" i="2"/>
  <c r="A81" i="2"/>
  <c r="G80" i="2"/>
  <c r="F80" i="2"/>
  <c r="E80" i="2"/>
  <c r="D80" i="2"/>
  <c r="C80" i="2"/>
  <c r="B80" i="2"/>
  <c r="A80" i="2"/>
  <c r="G79" i="2"/>
  <c r="F79" i="2"/>
  <c r="E79" i="2"/>
  <c r="D79" i="2"/>
  <c r="C79" i="2"/>
  <c r="B79" i="2"/>
  <c r="A79" i="2"/>
  <c r="G78" i="2"/>
  <c r="F78" i="2"/>
  <c r="E78" i="2"/>
  <c r="D78" i="2"/>
  <c r="C78" i="2"/>
  <c r="B78" i="2"/>
  <c r="A78" i="2"/>
  <c r="G77" i="2"/>
  <c r="F77" i="2"/>
  <c r="E77" i="2"/>
  <c r="D77" i="2"/>
  <c r="C77" i="2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F70" i="2"/>
  <c r="E70" i="2"/>
  <c r="D70" i="2"/>
  <c r="C70" i="2"/>
  <c r="B70" i="2"/>
  <c r="A70" i="2"/>
  <c r="G69" i="2"/>
  <c r="F69" i="2"/>
  <c r="E69" i="2"/>
  <c r="D69" i="2"/>
  <c r="C69" i="2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G65" i="2"/>
  <c r="F65" i="2"/>
  <c r="E65" i="2"/>
  <c r="D65" i="2"/>
  <c r="C65" i="2"/>
  <c r="B65" i="2"/>
  <c r="A65" i="2"/>
  <c r="G64" i="2"/>
  <c r="F64" i="2"/>
  <c r="E64" i="2"/>
  <c r="D64" i="2"/>
  <c r="C64" i="2"/>
  <c r="B64" i="2"/>
  <c r="A64" i="2"/>
  <c r="G63" i="2"/>
  <c r="F63" i="2"/>
  <c r="E63" i="2"/>
  <c r="D63" i="2"/>
  <c r="C63" i="2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B55" i="2"/>
  <c r="A55" i="2"/>
  <c r="G54" i="2"/>
  <c r="F54" i="2"/>
  <c r="E54" i="2"/>
  <c r="D54" i="2"/>
  <c r="C54" i="2"/>
  <c r="B54" i="2"/>
  <c r="A54" i="2"/>
  <c r="G53" i="2"/>
  <c r="F53" i="2"/>
  <c r="E53" i="2"/>
  <c r="D53" i="2"/>
  <c r="C53" i="2"/>
  <c r="B53" i="2"/>
  <c r="A53" i="2"/>
  <c r="G52" i="2"/>
  <c r="F52" i="2"/>
  <c r="E52" i="2"/>
  <c r="D52" i="2"/>
  <c r="C52" i="2"/>
  <c r="B52" i="2"/>
  <c r="A52" i="2"/>
  <c r="G51" i="2"/>
  <c r="F51" i="2"/>
  <c r="E51" i="2"/>
  <c r="D51" i="2"/>
  <c r="C51" i="2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F48" i="2"/>
  <c r="E48" i="2"/>
  <c r="D48" i="2"/>
  <c r="C48" i="2"/>
  <c r="B48" i="2"/>
  <c r="A48" i="2"/>
  <c r="G47" i="2"/>
  <c r="F47" i="2"/>
  <c r="E47" i="2"/>
  <c r="D47" i="2"/>
  <c r="C47" i="2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B41" i="2"/>
  <c r="A41" i="2"/>
  <c r="G40" i="2"/>
  <c r="F40" i="2"/>
  <c r="E40" i="2"/>
  <c r="D40" i="2"/>
  <c r="C40" i="2"/>
  <c r="B40" i="2"/>
  <c r="A40" i="2"/>
  <c r="G39" i="2"/>
  <c r="F39" i="2"/>
  <c r="E39" i="2"/>
  <c r="D39" i="2"/>
  <c r="C39" i="2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B37" i="2"/>
  <c r="A37" i="2"/>
  <c r="G36" i="2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F34" i="2"/>
  <c r="E34" i="2"/>
  <c r="D34" i="2"/>
  <c r="C34" i="2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B28" i="2"/>
  <c r="A28" i="2"/>
  <c r="G27" i="2"/>
  <c r="F27" i="2"/>
  <c r="E27" i="2"/>
  <c r="D27" i="2"/>
  <c r="C27" i="2"/>
  <c r="B27" i="2"/>
  <c r="A27" i="2"/>
  <c r="G26" i="2"/>
  <c r="F26" i="2"/>
  <c r="E26" i="2"/>
  <c r="D26" i="2"/>
  <c r="C26" i="2"/>
  <c r="B26" i="2"/>
  <c r="A26" i="2"/>
  <c r="G25" i="2"/>
  <c r="F25" i="2"/>
  <c r="E25" i="2"/>
  <c r="D25" i="2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B23" i="2"/>
  <c r="A23" i="2"/>
  <c r="G22" i="2"/>
  <c r="F22" i="2"/>
  <c r="E22" i="2"/>
  <c r="D22" i="2"/>
  <c r="C22" i="2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C12" i="2"/>
  <c r="B12" i="2"/>
  <c r="A12" i="2"/>
  <c r="B9" i="2"/>
  <c r="B7" i="2"/>
  <c r="B6" i="2"/>
  <c r="B5" i="2"/>
  <c r="A2" i="2"/>
  <c r="C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EngineStatus.25</t>
        </r>
      </text>
    </comment>
  </commentList>
</comments>
</file>

<file path=xl/sharedStrings.xml><?xml version="1.0" encoding="utf-8"?>
<sst xmlns="http://schemas.openxmlformats.org/spreadsheetml/2006/main" count="8701" uniqueCount="907">
  <si>
    <t>Description</t>
  </si>
  <si>
    <t>StatusDataDateTime</t>
  </si>
  <si>
    <t>Source</t>
  </si>
  <si>
    <t>RunDate</t>
  </si>
  <si>
    <t>FromDate</t>
  </si>
  <si>
    <t>ToDate</t>
  </si>
  <si>
    <t>CompanyName</t>
  </si>
  <si>
    <t>SendReport</t>
  </si>
  <si>
    <t>LastModifiedUser</t>
  </si>
  <si>
    <t>System</t>
  </si>
  <si>
    <t>English</t>
  </si>
  <si>
    <t>Spanish</t>
  </si>
  <si>
    <t>German</t>
  </si>
  <si>
    <t>Japanese</t>
  </si>
  <si>
    <t>**Device</t>
  </si>
  <si>
    <t>**Device Group</t>
  </si>
  <si>
    <t>**Description</t>
  </si>
  <si>
    <t>**Source</t>
  </si>
  <si>
    <t>**Controller</t>
  </si>
  <si>
    <t>**Value</t>
  </si>
  <si>
    <t>**Engine Status Report</t>
  </si>
  <si>
    <t>**Created</t>
  </si>
  <si>
    <t>**From</t>
  </si>
  <si>
    <t>**To</t>
  </si>
  <si>
    <t>Date</t>
  </si>
  <si>
    <t>**Date</t>
  </si>
  <si>
    <t>Dispositif</t>
  </si>
  <si>
    <t>Dispositivo</t>
  </si>
  <si>
    <t>Gerät</t>
  </si>
  <si>
    <t>デバイス</t>
  </si>
  <si>
    <t>Groupe de dispositifs</t>
  </si>
  <si>
    <t>Grupo de dispositivos</t>
  </si>
  <si>
    <t>Gerätegruppe</t>
  </si>
  <si>
    <t>デバイスグループ</t>
  </si>
  <si>
    <t>Fecha</t>
  </si>
  <si>
    <t>Datum</t>
  </si>
  <si>
    <t>データ</t>
  </si>
  <si>
    <t>Descripción</t>
  </si>
  <si>
    <t>Beschreibung</t>
  </si>
  <si>
    <t>説明を入力してください</t>
  </si>
  <si>
    <t>Fuente</t>
  </si>
  <si>
    <t>Quelle</t>
  </si>
  <si>
    <t>ソース</t>
  </si>
  <si>
    <t>Contrôleur du moteur</t>
  </si>
  <si>
    <t>Controlador de motor</t>
  </si>
  <si>
    <t>Motorsteuerung</t>
  </si>
  <si>
    <t>コントローラー</t>
  </si>
  <si>
    <t>Valeur</t>
  </si>
  <si>
    <t>Valor</t>
  </si>
  <si>
    <t>Wert</t>
  </si>
  <si>
    <t>値</t>
  </si>
  <si>
    <t>Rapport d’état du moteur</t>
  </si>
  <si>
    <t>Reporte de estado del motor</t>
  </si>
  <si>
    <t>Bericht Motorstatus</t>
  </si>
  <si>
    <t>エンジン状態レポート</t>
  </si>
  <si>
    <t>Créé</t>
  </si>
  <si>
    <t>Creado</t>
  </si>
  <si>
    <t>Angelegt</t>
  </si>
  <si>
    <t>作成済</t>
  </si>
  <si>
    <t>Von</t>
  </si>
  <si>
    <t>Language</t>
  </si>
  <si>
    <t>Polish</t>
  </si>
  <si>
    <t>Data</t>
  </si>
  <si>
    <t>Opis</t>
  </si>
  <si>
    <t>Zródlo</t>
  </si>
  <si>
    <t>Kontroler</t>
  </si>
  <si>
    <t>Wartosc</t>
  </si>
  <si>
    <t>Raport stanu silnika</t>
  </si>
  <si>
    <t>Utworzono</t>
  </si>
  <si>
    <t>Od</t>
  </si>
  <si>
    <t>Do</t>
  </si>
  <si>
    <t>Urzadzenie</t>
  </si>
  <si>
    <t>Grupa urzadzen</t>
  </si>
  <si>
    <t>SensorDataAddress</t>
  </si>
  <si>
    <t>Portuguese-Brazil</t>
  </si>
  <si>
    <t>Grupo de dispositivo</t>
  </si>
  <si>
    <t>Descrição</t>
  </si>
  <si>
    <t>Fonte</t>
  </si>
  <si>
    <t>Controlador</t>
  </si>
  <si>
    <t>Relatório do status do motor</t>
  </si>
  <si>
    <t>Criado em</t>
  </si>
  <si>
    <t>Dutch</t>
  </si>
  <si>
    <t>Apparaat</t>
  </si>
  <si>
    <t>Apparaatgroep</t>
  </si>
  <si>
    <t>Omschrijving</t>
  </si>
  <si>
    <t>Bron</t>
  </si>
  <si>
    <t>Controller</t>
  </si>
  <si>
    <t>Waarde</t>
  </si>
  <si>
    <t>Rapport Motorstatus</t>
  </si>
  <si>
    <t>Aangemaakt</t>
  </si>
  <si>
    <t>Van</t>
  </si>
  <si>
    <t>Italian</t>
  </si>
  <si>
    <t>Descrizione</t>
  </si>
  <si>
    <t>Sorgente</t>
  </si>
  <si>
    <t>Valore</t>
  </si>
  <si>
    <t>Telematics Device</t>
  </si>
  <si>
    <t>Gruppo di dispositivi</t>
  </si>
  <si>
    <t>Report di stato del motore</t>
  </si>
  <si>
    <t>Creato</t>
  </si>
  <si>
    <t>设备</t>
  </si>
  <si>
    <t>设备的组名</t>
  </si>
  <si>
    <t>控制器</t>
  </si>
  <si>
    <t>发动机状态报告</t>
  </si>
  <si>
    <t>创建日期</t>
  </si>
  <si>
    <t>自</t>
  </si>
  <si>
    <t>至</t>
  </si>
  <si>
    <t>Simplified Chinese</t>
  </si>
  <si>
    <t>日期</t>
  </si>
  <si>
    <t>描述</t>
  </si>
  <si>
    <t>来源</t>
  </si>
  <si>
    <t>值</t>
  </si>
  <si>
    <t>TimeZone</t>
  </si>
  <si>
    <t>**Time Zone</t>
  </si>
  <si>
    <t>Fuseau horaire</t>
  </si>
  <si>
    <t>Huso horario</t>
  </si>
  <si>
    <t>Zeitzone</t>
  </si>
  <si>
    <t>タイムゾーン</t>
  </si>
  <si>
    <t>Strefa czasowa</t>
  </si>
  <si>
    <t>Zona horária</t>
  </si>
  <si>
    <t>Tijdzone</t>
  </si>
  <si>
    <t>Fuso orario</t>
  </si>
  <si>
    <t>时区</t>
  </si>
  <si>
    <t>Thai</t>
  </si>
  <si>
    <t>อุปกรณ์</t>
  </si>
  <si>
    <t>กลุ่มอุปกรณ์</t>
  </si>
  <si>
    <t>วันที่</t>
  </si>
  <si>
    <t>คำอธิบาย</t>
  </si>
  <si>
    <t>แหล่ง</t>
  </si>
  <si>
    <t>ตัวควบคุม</t>
  </si>
  <si>
    <t>ค่า</t>
  </si>
  <si>
    <t>รายงานสถานะเครื่องยนต์</t>
  </si>
  <si>
    <t>สร้างแล้ว</t>
  </si>
  <si>
    <t>จาก</t>
  </si>
  <si>
    <t>ถึง</t>
  </si>
  <si>
    <t>โซนเวลา</t>
  </si>
  <si>
    <t>Du</t>
  </si>
  <si>
    <t>Desde</t>
  </si>
  <si>
    <t>開始日</t>
  </si>
  <si>
    <t>Dal</t>
  </si>
  <si>
    <t>Au</t>
  </si>
  <si>
    <t>Hasta</t>
  </si>
  <si>
    <t>Bis</t>
  </si>
  <si>
    <t>終了日</t>
  </si>
  <si>
    <t>Até</t>
  </si>
  <si>
    <t>Tot</t>
  </si>
  <si>
    <t>Al</t>
  </si>
  <si>
    <t>Indonesian</t>
  </si>
  <si>
    <t>Perangkat</t>
  </si>
  <si>
    <t>Grup Perangkat</t>
  </si>
  <si>
    <t>Tanggal</t>
  </si>
  <si>
    <t>Deskripsi</t>
  </si>
  <si>
    <t>Sumber</t>
  </si>
  <si>
    <t>Pengontrol</t>
  </si>
  <si>
    <t>Nilai</t>
  </si>
  <si>
    <t>Laporan Status Mesin</t>
  </si>
  <si>
    <t>Dibuat</t>
  </si>
  <si>
    <t>Dari</t>
  </si>
  <si>
    <t>Hingga</t>
  </si>
  <si>
    <t>Zona Waktu</t>
  </si>
  <si>
    <t>Czech</t>
  </si>
  <si>
    <t>Swedish</t>
  </si>
  <si>
    <t>Zařízení</t>
  </si>
  <si>
    <t>Enhet</t>
  </si>
  <si>
    <t>Skupina zařízení</t>
  </si>
  <si>
    <t>Enhetsgrupp</t>
  </si>
  <si>
    <t>Popis</t>
  </si>
  <si>
    <t>Beskrivning</t>
  </si>
  <si>
    <t>Zdroj</t>
  </si>
  <si>
    <t>Källa</t>
  </si>
  <si>
    <t>Ovladač</t>
  </si>
  <si>
    <t>Kontrollant</t>
  </si>
  <si>
    <t>Hodnota</t>
  </si>
  <si>
    <t>Värde</t>
  </si>
  <si>
    <t>Výkaz o stavu motoru</t>
  </si>
  <si>
    <t>Motorstatusrapport</t>
  </si>
  <si>
    <t>Vytvořeno</t>
  </si>
  <si>
    <t>Skapad</t>
  </si>
  <si>
    <t>Från</t>
  </si>
  <si>
    <t>Do/pro</t>
  </si>
  <si>
    <t>Till</t>
  </si>
  <si>
    <t>Časové pásmo</t>
  </si>
  <si>
    <t>Tidszon</t>
  </si>
  <si>
    <t>Turkish</t>
  </si>
  <si>
    <t>Aygıt</t>
  </si>
  <si>
    <t>Aygıt Grubu</t>
  </si>
  <si>
    <t>Tarih</t>
  </si>
  <si>
    <t>Açıklama</t>
  </si>
  <si>
    <t>Kaynak</t>
  </si>
  <si>
    <t>Kontrol Aygıtı</t>
  </si>
  <si>
    <t>Değer</t>
  </si>
  <si>
    <t>Motor Durum Raporu</t>
  </si>
  <si>
    <t>Oluşturuldu</t>
  </si>
  <si>
    <t>Gönderen</t>
  </si>
  <si>
    <t>Alıcı</t>
  </si>
  <si>
    <t>Saat Dilimi</t>
  </si>
  <si>
    <t>**Days</t>
  </si>
  <si>
    <t>Jours</t>
  </si>
  <si>
    <t>Días</t>
  </si>
  <si>
    <t>Tage</t>
  </si>
  <si>
    <t>日</t>
  </si>
  <si>
    <t>Dni</t>
  </si>
  <si>
    <t>Dias</t>
  </si>
  <si>
    <t>Dagen</t>
  </si>
  <si>
    <t>Giorni</t>
  </si>
  <si>
    <t>天</t>
  </si>
  <si>
    <t>วัน</t>
  </si>
  <si>
    <t>Hari</t>
  </si>
  <si>
    <t>Dny</t>
  </si>
  <si>
    <t>Dagar</t>
  </si>
  <si>
    <t>Gün</t>
  </si>
  <si>
    <t>Malay</t>
  </si>
  <si>
    <t>Peranti</t>
  </si>
  <si>
    <t>Kumpulan Peranti</t>
  </si>
  <si>
    <t>Tarikh</t>
  </si>
  <si>
    <t>Huraian</t>
  </si>
  <si>
    <t>Pengawal</t>
  </si>
  <si>
    <t>Laporan Status Enjin</t>
  </si>
  <si>
    <t>Dicipta</t>
  </si>
  <si>
    <t>Daripada</t>
  </si>
  <si>
    <t>Ke</t>
  </si>
  <si>
    <t>Zon Waktu</t>
  </si>
  <si>
    <t>hari</t>
  </si>
  <si>
    <t>French France</t>
  </si>
  <si>
    <t>Boîtier</t>
  </si>
  <si>
    <t>Groupe de boîtiers</t>
  </si>
  <si>
    <t>Contrôleur</t>
  </si>
  <si>
    <t>Rapport de l’état du moteur</t>
  </si>
  <si>
    <t>À partir du</t>
  </si>
  <si>
    <t>À</t>
  </si>
  <si>
    <t>jours</t>
  </si>
  <si>
    <t>French Canada</t>
  </si>
  <si>
    <t>.Device.DeviceGroup|Company Group</t>
  </si>
  <si>
    <t>Korean</t>
  </si>
  <si>
    <t>장치</t>
  </si>
  <si>
    <t>장치 그룹</t>
  </si>
  <si>
    <t>날짜</t>
  </si>
  <si>
    <t>설명</t>
  </si>
  <si>
    <t>소스</t>
  </si>
  <si>
    <t>컨트롤러</t>
  </si>
  <si>
    <t>값</t>
  </si>
  <si>
    <t>엔진 상태 보고서</t>
  </si>
  <si>
    <t>생성됨</t>
  </si>
  <si>
    <t>시작</t>
  </si>
  <si>
    <t>대상</t>
  </si>
  <si>
    <t>시간대</t>
  </si>
  <si>
    <t>일</t>
  </si>
  <si>
    <t>Traditional Chinese</t>
  </si>
  <si>
    <t>裝置</t>
  </si>
  <si>
    <t>裝置群組</t>
  </si>
  <si>
    <t>來源</t>
  </si>
  <si>
    <t>引擎狀態報告</t>
  </si>
  <si>
    <t>已建立</t>
  </si>
  <si>
    <t>從</t>
  </si>
  <si>
    <t>時區</t>
  </si>
  <si>
    <t>Danish</t>
  </si>
  <si>
    <t>Finnish</t>
  </si>
  <si>
    <t>Hungarian</t>
  </si>
  <si>
    <t>Norwegian</t>
  </si>
  <si>
    <t>Slovak</t>
  </si>
  <si>
    <t>Enhed</t>
  </si>
  <si>
    <t>Laite</t>
  </si>
  <si>
    <t>Készülék</t>
  </si>
  <si>
    <t>Zariadenie</t>
  </si>
  <si>
    <t>Enhedsgruppe</t>
  </si>
  <si>
    <t>Laiteryhmä</t>
  </si>
  <si>
    <t>Készülékcsoport</t>
  </si>
  <si>
    <t>Enhetsgruppe</t>
  </si>
  <si>
    <t>Skupina zariadení</t>
  </si>
  <si>
    <t>Dato</t>
  </si>
  <si>
    <t>Päivämäärä</t>
  </si>
  <si>
    <t>Dátum</t>
  </si>
  <si>
    <t>Beskrivelse</t>
  </si>
  <si>
    <t>Kuvaus</t>
  </si>
  <si>
    <t>Leírás</t>
  </si>
  <si>
    <t>Kilde</t>
  </si>
  <si>
    <t>Lähde</t>
  </si>
  <si>
    <t>Forrás</t>
  </si>
  <si>
    <t>Ohjain</t>
  </si>
  <si>
    <t>Vezérlő</t>
  </si>
  <si>
    <t>Kontroller</t>
  </si>
  <si>
    <t>Riadiaca jednotka</t>
  </si>
  <si>
    <t>Værdi</t>
  </si>
  <si>
    <t>Arvo</t>
  </si>
  <si>
    <t>Érték</t>
  </si>
  <si>
    <t>Verdi</t>
  </si>
  <si>
    <t>Moottorin tilaraportti</t>
  </si>
  <si>
    <t>Motorállapot-jelentés</t>
  </si>
  <si>
    <t>Statusrapport for motor</t>
  </si>
  <si>
    <t>Výkaz stavu motora</t>
  </si>
  <si>
    <t>Oprettet</t>
  </si>
  <si>
    <t>Luotu</t>
  </si>
  <si>
    <t>Létrehozva</t>
  </si>
  <si>
    <t>Opprettet</t>
  </si>
  <si>
    <t>Vytvorené</t>
  </si>
  <si>
    <t>Fra</t>
  </si>
  <si>
    <t>Alku</t>
  </si>
  <si>
    <t>Feladó</t>
  </si>
  <si>
    <t>Z</t>
  </si>
  <si>
    <t>Til</t>
  </si>
  <si>
    <t>Kohde</t>
  </si>
  <si>
    <t>Címzett</t>
  </si>
  <si>
    <t>Tidszone</t>
  </si>
  <si>
    <t>Aikavyöhyke</t>
  </si>
  <si>
    <t>Időzóna</t>
  </si>
  <si>
    <t>Tidssone</t>
  </si>
  <si>
    <t>Dage</t>
  </si>
  <si>
    <t>Päivät</t>
  </si>
  <si>
    <t>Napok</t>
  </si>
  <si>
    <t>Dager</t>
  </si>
  <si>
    <t>Portuguese-Portugal</t>
  </si>
  <si>
    <t>Romanian</t>
  </si>
  <si>
    <t>Dispozitiv</t>
  </si>
  <si>
    <t>Grupo do dispositivo</t>
  </si>
  <si>
    <t>Grup de dispozitive</t>
  </si>
  <si>
    <t>Descriere</t>
  </si>
  <si>
    <t>Sursă</t>
  </si>
  <si>
    <t>Controler</t>
  </si>
  <si>
    <t>Valoare</t>
  </si>
  <si>
    <t>Relatório Estado do motor</t>
  </si>
  <si>
    <t>Raport de stare a motorului</t>
  </si>
  <si>
    <t>Criado</t>
  </si>
  <si>
    <t>Creat</t>
  </si>
  <si>
    <t>De</t>
  </si>
  <si>
    <t>De la</t>
  </si>
  <si>
    <t>A</t>
  </si>
  <si>
    <t>Către</t>
  </si>
  <si>
    <t>Fuso horário</t>
  </si>
  <si>
    <t>Fon orar</t>
  </si>
  <si>
    <t>Zile</t>
  </si>
  <si>
    <t>Escuela de Ingenieria Electrica UCR</t>
  </si>
  <si>
    <t>America/Costa_Rica</t>
  </si>
  <si>
    <t>es</t>
  </si>
  <si>
    <t>.StatusData.Device.DeviceName</t>
  </si>
  <si>
    <t>.StatusData.Device.DeviceId</t>
  </si>
  <si>
    <t>.StatusData.Device.DeviceComment</t>
  </si>
  <si>
    <t>.StatusData.Device.DeviceGroup</t>
  </si>
  <si>
    <t>.StatusData.Diagnostic.DiagnosticName</t>
  </si>
  <si>
    <t>.StatusData.Diagnostic.DiagnosticId</t>
  </si>
  <si>
    <t>.StatusData.Diagnostic.DiagnosticCode</t>
  </si>
  <si>
    <t>.StatusData.Diagnostic.Source.SourceName</t>
  </si>
  <si>
    <t>.StatusData.Diagnostic.Source.SourceId</t>
  </si>
  <si>
    <t>.StatusData.Diagnostic.Controller.ControllerName</t>
  </si>
  <si>
    <t>.StatusData.Diagnostic.Controller.ControllerId</t>
  </si>
  <si>
    <t>StatusDataRecordDisplayData</t>
  </si>
  <si>
    <t>StatusDataRecordUnitOfMeasureName</t>
  </si>
  <si>
    <t>.StatusData.Diagnostic.UnitOfMeasure.UnitOfMeasureId</t>
  </si>
  <si>
    <t>NISSAN LEAF 299-1018</t>
  </si>
  <si>
    <t>b3</t>
  </si>
  <si>
    <t>Vehicle, Battery Electric Vehicle</t>
  </si>
  <si>
    <t>Battery Electric Vehicle, Vehicle</t>
  </si>
  <si>
    <t>Estado de carga genérico</t>
  </si>
  <si>
    <t>DiagnosticStateOfChargeId</t>
  </si>
  <si>
    <t>2118</t>
  </si>
  <si>
    <t>SourceGeotabGoId</t>
  </si>
  <si>
    <t>ControllerNoneId</t>
  </si>
  <si>
    <t>%</t>
  </si>
  <si>
    <t>UnitOfMeasurePercentageId</t>
  </si>
  <si>
    <t>Voltaje de la batería de alta tensión</t>
  </si>
  <si>
    <t>a4kUpYGyQ4E2uoQTp-ed0Ow</t>
  </si>
  <si>
    <t>2111</t>
  </si>
  <si>
    <t>V</t>
  </si>
  <si>
    <t>UnitOfMeasureVoltsId</t>
  </si>
  <si>
    <t>Energía de la batería del vehículo eléctrico</t>
  </si>
  <si>
    <t>DiagnosticElectricVehicleBatteryPowerId</t>
  </si>
  <si>
    <t>3294</t>
  </si>
  <si>
    <t>W</t>
  </si>
  <si>
    <t>UnitOfMeasureWattsId</t>
  </si>
  <si>
    <t>78.66 %</t>
  </si>
  <si>
    <t>376 V</t>
  </si>
  <si>
    <t>564 W</t>
  </si>
  <si>
    <t>188 W</t>
  </si>
  <si>
    <t>376 W</t>
  </si>
  <si>
    <t>22134 W</t>
  </si>
  <si>
    <t>-26320 W</t>
  </si>
  <si>
    <t>19183 W</t>
  </si>
  <si>
    <t>-23027 W</t>
  </si>
  <si>
    <t>-29585 W</t>
  </si>
  <si>
    <t>0 W</t>
  </si>
  <si>
    <t>20673 W</t>
  </si>
  <si>
    <t>-31563 W</t>
  </si>
  <si>
    <t>24000 W</t>
  </si>
  <si>
    <t>-16875 W</t>
  </si>
  <si>
    <t>19396 W</t>
  </si>
  <si>
    <t>-749 W</t>
  </si>
  <si>
    <t>32560 W</t>
  </si>
  <si>
    <t>2586 W</t>
  </si>
  <si>
    <t>-370 W</t>
  </si>
  <si>
    <t>33394 W</t>
  </si>
  <si>
    <t>-18090 W</t>
  </si>
  <si>
    <t>29190 W</t>
  </si>
  <si>
    <t>-33428 W</t>
  </si>
  <si>
    <t>-564 W</t>
  </si>
  <si>
    <t>13950 W</t>
  </si>
  <si>
    <t>-29427 W</t>
  </si>
  <si>
    <t>18042 W</t>
  </si>
  <si>
    <t>-20542 W</t>
  </si>
  <si>
    <t>77.56 %</t>
  </si>
  <si>
    <t>12885 W</t>
  </si>
  <si>
    <t>30668 W</t>
  </si>
  <si>
    <t>-7843 W</t>
  </si>
  <si>
    <t>25228 W</t>
  </si>
  <si>
    <t>-6891 W</t>
  </si>
  <si>
    <t>23341 W</t>
  </si>
  <si>
    <t>-8030 W</t>
  </si>
  <si>
    <t>19902 W</t>
  </si>
  <si>
    <t>-1671 W</t>
  </si>
  <si>
    <t>27527 W</t>
  </si>
  <si>
    <t>-12090 W</t>
  </si>
  <si>
    <t>24840 W</t>
  </si>
  <si>
    <t>-18228 W</t>
  </si>
  <si>
    <t>24638 W</t>
  </si>
  <si>
    <t>-23436 W</t>
  </si>
  <si>
    <t>18438 W</t>
  </si>
  <si>
    <t>-22350 W</t>
  </si>
  <si>
    <t>18735 W</t>
  </si>
  <si>
    <t>-1117 W</t>
  </si>
  <si>
    <t>38007 W</t>
  </si>
  <si>
    <t>-369 W</t>
  </si>
  <si>
    <t>76.585 %</t>
  </si>
  <si>
    <t>372.5 V</t>
  </si>
  <si>
    <t>186 W</t>
  </si>
  <si>
    <t>373 V</t>
  </si>
  <si>
    <t>373 W</t>
  </si>
  <si>
    <t>-21820 W</t>
  </si>
  <si>
    <t>8556 W</t>
  </si>
  <si>
    <t>11501 W</t>
  </si>
  <si>
    <t>4855 W</t>
  </si>
  <si>
    <t>-34689 W</t>
  </si>
  <si>
    <t>9911 W</t>
  </si>
  <si>
    <t>-18024 W</t>
  </si>
  <si>
    <t>17945 W</t>
  </si>
  <si>
    <t>-43081 W</t>
  </si>
  <si>
    <t>17736 W</t>
  </si>
  <si>
    <t>-15603 W</t>
  </si>
  <si>
    <t>11130 W</t>
  </si>
  <si>
    <t>75.49 %</t>
  </si>
  <si>
    <t>-14773 W</t>
  </si>
  <si>
    <t>18685 W</t>
  </si>
  <si>
    <t>-22536 W</t>
  </si>
  <si>
    <t>3906 W</t>
  </si>
  <si>
    <t>-11100 W</t>
  </si>
  <si>
    <t>24486 W</t>
  </si>
  <si>
    <t>-10216 W</t>
  </si>
  <si>
    <t>15375 W</t>
  </si>
  <si>
    <t>-24519 W</t>
  </si>
  <si>
    <t>13302 W</t>
  </si>
  <si>
    <t>-14302 W</t>
  </si>
  <si>
    <t>-14586 W</t>
  </si>
  <si>
    <t>15396 W</t>
  </si>
  <si>
    <t>15456 W</t>
  </si>
  <si>
    <t>-15682 W</t>
  </si>
  <si>
    <t>14206 W</t>
  </si>
  <si>
    <t>11607 W</t>
  </si>
  <si>
    <t>-15666 W</t>
  </si>
  <si>
    <t>27046 W</t>
  </si>
  <si>
    <t>-12111 W</t>
  </si>
  <si>
    <t>20763 W</t>
  </si>
  <si>
    <t>-19821 W</t>
  </si>
  <si>
    <t>16744 W</t>
  </si>
  <si>
    <t>-15435 W</t>
  </si>
  <si>
    <t>30073 W</t>
  </si>
  <si>
    <t>29788 W</t>
  </si>
  <si>
    <t>-10051 W</t>
  </si>
  <si>
    <t>19980 W</t>
  </si>
  <si>
    <t>74.27 %</t>
  </si>
  <si>
    <t>28613 W</t>
  </si>
  <si>
    <t>-10767 W</t>
  </si>
  <si>
    <t>17664 W</t>
  </si>
  <si>
    <t>-19266 W</t>
  </si>
  <si>
    <t>30195 W</t>
  </si>
  <si>
    <t>23907 W</t>
  </si>
  <si>
    <t>-13322 W</t>
  </si>
  <si>
    <t>34169 W</t>
  </si>
  <si>
    <t>-18200 W</t>
  </si>
  <si>
    <t>41358 W</t>
  </si>
  <si>
    <t>-9451 W</t>
  </si>
  <si>
    <t>73.17 %</t>
  </si>
  <si>
    <t>-9447 W</t>
  </si>
  <si>
    <t>23184 W</t>
  </si>
  <si>
    <t>-9685 W</t>
  </si>
  <si>
    <t>21990 W</t>
  </si>
  <si>
    <t>-10797 W</t>
  </si>
  <si>
    <t>31261 W</t>
  </si>
  <si>
    <t>29080 W</t>
  </si>
  <si>
    <t>-12722 W</t>
  </si>
  <si>
    <t>15168 W</t>
  </si>
  <si>
    <t>-37740 W</t>
  </si>
  <si>
    <t>-15417 W</t>
  </si>
  <si>
    <t>-42908 W</t>
  </si>
  <si>
    <t>-1114 W</t>
  </si>
  <si>
    <t>43856 W</t>
  </si>
  <si>
    <t>-11607 W</t>
  </si>
  <si>
    <t>-32394 W</t>
  </si>
  <si>
    <t>3890 W</t>
  </si>
  <si>
    <t>-26120 W</t>
  </si>
  <si>
    <t>34451 W</t>
  </si>
  <si>
    <t>-4243 W</t>
  </si>
  <si>
    <t>29422 W</t>
  </si>
  <si>
    <t>-6570 W</t>
  </si>
  <si>
    <t>31668 W</t>
  </si>
  <si>
    <t>-18952 W</t>
  </si>
  <si>
    <t>32169 W</t>
  </si>
  <si>
    <t>-11239 W</t>
  </si>
  <si>
    <t>25915 W</t>
  </si>
  <si>
    <t>-11830 W</t>
  </si>
  <si>
    <t>32488 W</t>
  </si>
  <si>
    <t>-13956 W</t>
  </si>
  <si>
    <t>8107 W</t>
  </si>
  <si>
    <t>-43699 W</t>
  </si>
  <si>
    <t>30686 W</t>
  </si>
  <si>
    <t>-24723 W</t>
  </si>
  <si>
    <t>20240 W</t>
  </si>
  <si>
    <t>34350 W</t>
  </si>
  <si>
    <t>-11056 W</t>
  </si>
  <si>
    <t>72.075 %</t>
  </si>
  <si>
    <t>-9409 W</t>
  </si>
  <si>
    <t>23456 W</t>
  </si>
  <si>
    <t>-16949 W</t>
  </si>
  <si>
    <t>42580 W</t>
  </si>
  <si>
    <t>-18558 W</t>
  </si>
  <si>
    <t>27080 W</t>
  </si>
  <si>
    <t>32535 W</t>
  </si>
  <si>
    <t>-11781 W</t>
  </si>
  <si>
    <t>23478 W</t>
  </si>
  <si>
    <t>-10178 W</t>
  </si>
  <si>
    <t>17225 W</t>
  </si>
  <si>
    <t>-11055 W</t>
  </si>
  <si>
    <t>26280 W</t>
  </si>
  <si>
    <t>-10870 W</t>
  </si>
  <si>
    <t>26645 W</t>
  </si>
  <si>
    <t>-9100 W</t>
  </si>
  <si>
    <t>21381 W</t>
  </si>
  <si>
    <t>-9982 W</t>
  </si>
  <si>
    <t>13340 W</t>
  </si>
  <si>
    <t>-13523 W</t>
  </si>
  <si>
    <t>22662 W</t>
  </si>
  <si>
    <t>-34592 W</t>
  </si>
  <si>
    <t>7001 W</t>
  </si>
  <si>
    <t>-29176 W</t>
  </si>
  <si>
    <t>9646 W</t>
  </si>
  <si>
    <t>32032 W</t>
  </si>
  <si>
    <t>-6561 W</t>
  </si>
  <si>
    <t>27884 W</t>
  </si>
  <si>
    <t>70.975 %</t>
  </si>
  <si>
    <t>-10905 W</t>
  </si>
  <si>
    <t>15812 W</t>
  </si>
  <si>
    <t>-8107 W</t>
  </si>
  <si>
    <t>30660 W</t>
  </si>
  <si>
    <t>-11434 W</t>
  </si>
  <si>
    <t>18191 W</t>
  </si>
  <si>
    <t>-11728 W</t>
  </si>
  <si>
    <t>14457 W</t>
  </si>
  <si>
    <t>-15910 W</t>
  </si>
  <si>
    <t>6808 W</t>
  </si>
  <si>
    <t>-42392 W</t>
  </si>
  <si>
    <t>-5960 W</t>
  </si>
  <si>
    <t>16331 W</t>
  </si>
  <si>
    <t>-25970 W</t>
  </si>
  <si>
    <t>47225 W</t>
  </si>
  <si>
    <t>45000 W</t>
  </si>
  <si>
    <t>-7581 W</t>
  </si>
  <si>
    <t>39222 W</t>
  </si>
  <si>
    <t>1810 W</t>
  </si>
  <si>
    <t>28659 W</t>
  </si>
  <si>
    <t>-12833 W</t>
  </si>
  <si>
    <t>17968 W</t>
  </si>
  <si>
    <t>-17751 W</t>
  </si>
  <si>
    <t>26788 W</t>
  </si>
  <si>
    <t>-4344 W</t>
  </si>
  <si>
    <t>-25725 W</t>
  </si>
  <si>
    <t>8772 W</t>
  </si>
  <si>
    <t>14235 W</t>
  </si>
  <si>
    <t>-2024 W</t>
  </si>
  <si>
    <t>-44464 W</t>
  </si>
  <si>
    <t>-9250 W</t>
  </si>
  <si>
    <t>-6992 W</t>
  </si>
  <si>
    <t>44583 W</t>
  </si>
  <si>
    <t>44460 W</t>
  </si>
  <si>
    <t>-8987 W</t>
  </si>
  <si>
    <t>13505 W</t>
  </si>
  <si>
    <t>-40959 W</t>
  </si>
  <si>
    <t>6063 W</t>
  </si>
  <si>
    <t>-43036 W</t>
  </si>
  <si>
    <t>-36132 W</t>
  </si>
  <si>
    <t>7176 W</t>
  </si>
  <si>
    <t>-34175 W</t>
  </si>
  <si>
    <t>-2220 W</t>
  </si>
  <si>
    <t>-38213 W</t>
  </si>
  <si>
    <t>-4862 W</t>
  </si>
  <si>
    <t>-7410 W</t>
  </si>
  <si>
    <t>-34271 W</t>
  </si>
  <si>
    <t>5372 W</t>
  </si>
  <si>
    <t>-31677 W</t>
  </si>
  <si>
    <t>-7605 W</t>
  </si>
  <si>
    <t>-38011 W</t>
  </si>
  <si>
    <t>-1486 W</t>
  </si>
  <si>
    <t>-42780 W</t>
  </si>
  <si>
    <t>928 W</t>
  </si>
  <si>
    <t>36085 W</t>
  </si>
  <si>
    <t>5808 W</t>
  </si>
  <si>
    <t>35670 W</t>
  </si>
  <si>
    <t>-1263 W</t>
  </si>
  <si>
    <t>69.755 %</t>
  </si>
  <si>
    <t>26028 W</t>
  </si>
  <si>
    <t>-30435 W</t>
  </si>
  <si>
    <t>16153 W</t>
  </si>
  <si>
    <t>-10023 W</t>
  </si>
  <si>
    <t>-4191 W</t>
  </si>
  <si>
    <t>36100 W</t>
  </si>
  <si>
    <t>-5061 W</t>
  </si>
  <si>
    <t>19393 W</t>
  </si>
  <si>
    <t>-10206 W</t>
  </si>
  <si>
    <t>39150 W</t>
  </si>
  <si>
    <t>-11191 W</t>
  </si>
  <si>
    <t>35788 W</t>
  </si>
  <si>
    <t>-8178 W</t>
  </si>
  <si>
    <t>23465 W</t>
  </si>
  <si>
    <t>68.415 %</t>
  </si>
  <si>
    <t>34726 W</t>
  </si>
  <si>
    <t>-3410 W</t>
  </si>
  <si>
    <t>33915 W</t>
  </si>
  <si>
    <t>-1795 W</t>
  </si>
  <si>
    <t>67.075 %</t>
  </si>
  <si>
    <t>34189 W</t>
  </si>
  <si>
    <t>1247 W</t>
  </si>
  <si>
    <t>29946 W</t>
  </si>
  <si>
    <t>-6849 W</t>
  </si>
  <si>
    <t>21840 W</t>
  </si>
  <si>
    <t>-11632 W</t>
  </si>
  <si>
    <t>28580 W</t>
  </si>
  <si>
    <t>-4481 W</t>
  </si>
  <si>
    <t>25305 W</t>
  </si>
  <si>
    <t>-1260 W</t>
  </si>
  <si>
    <t>37024 W</t>
  </si>
  <si>
    <t>1955 W</t>
  </si>
  <si>
    <t>-23645 W</t>
  </si>
  <si>
    <t>28957 W</t>
  </si>
  <si>
    <t>-5556 W</t>
  </si>
  <si>
    <t>65.975 %</t>
  </si>
  <si>
    <t>25525 W</t>
  </si>
  <si>
    <t>-20967 W</t>
  </si>
  <si>
    <t>32399 W</t>
  </si>
  <si>
    <t>535 W</t>
  </si>
  <si>
    <t>31904 W</t>
  </si>
  <si>
    <t>30217 W</t>
  </si>
  <si>
    <t>6052 W</t>
  </si>
  <si>
    <t>64.755 %</t>
  </si>
  <si>
    <t>-41823 W</t>
  </si>
  <si>
    <t>29672 W</t>
  </si>
  <si>
    <t>-23200 W</t>
  </si>
  <si>
    <t>38626 W</t>
  </si>
  <si>
    <t>-3217 W</t>
  </si>
  <si>
    <t>4977 W</t>
  </si>
  <si>
    <t>33192 W</t>
  </si>
  <si>
    <t>63.535 %</t>
  </si>
  <si>
    <t>-3764 W</t>
  </si>
  <si>
    <t>25133 W</t>
  </si>
  <si>
    <t>-19126 W</t>
  </si>
  <si>
    <t>26662 W</t>
  </si>
  <si>
    <t>-4111 W</t>
  </si>
  <si>
    <t>27056 W</t>
  </si>
  <si>
    <t>-3026 W</t>
  </si>
  <si>
    <t>-6990 W</t>
  </si>
  <si>
    <t>29820 W</t>
  </si>
  <si>
    <t>3575 W</t>
  </si>
  <si>
    <t>62.44 %</t>
  </si>
  <si>
    <t>24214 W</t>
  </si>
  <si>
    <t>61.22 %</t>
  </si>
  <si>
    <t>-13725 W</t>
  </si>
  <si>
    <t>18611 W</t>
  </si>
  <si>
    <t>-12121 W</t>
  </si>
  <si>
    <t>20263 W</t>
  </si>
  <si>
    <t>-5355 W</t>
  </si>
  <si>
    <t>23496 W</t>
  </si>
  <si>
    <t>60.12 %</t>
  </si>
  <si>
    <t>38857 W</t>
  </si>
  <si>
    <t>-3353 W</t>
  </si>
  <si>
    <t>35350 W</t>
  </si>
  <si>
    <t>347.5 V</t>
  </si>
  <si>
    <t>58.66 %</t>
  </si>
  <si>
    <t>35050 W</t>
  </si>
  <si>
    <t>-39648 W</t>
  </si>
  <si>
    <t>-11875 W</t>
  </si>
  <si>
    <t>-42482 W</t>
  </si>
  <si>
    <t>27847 W</t>
  </si>
  <si>
    <t>35299 W</t>
  </si>
  <si>
    <t>-1226 W</t>
  </si>
  <si>
    <t>34466 W</t>
  </si>
  <si>
    <t>36955 W</t>
  </si>
  <si>
    <t>57.56 %</t>
  </si>
  <si>
    <t>8154 W</t>
  </si>
  <si>
    <t>35394 W</t>
  </si>
  <si>
    <t>-876 W</t>
  </si>
  <si>
    <t>28884 W</t>
  </si>
  <si>
    <t>-2443 W</t>
  </si>
  <si>
    <t>-11182 W</t>
  </si>
  <si>
    <t>-41415 W</t>
  </si>
  <si>
    <t>-9473 W</t>
  </si>
  <si>
    <t>-27272 W</t>
  </si>
  <si>
    <t>29163 W</t>
  </si>
  <si>
    <t>-28262 W</t>
  </si>
  <si>
    <t>-4984 W</t>
  </si>
  <si>
    <t>-44460 W</t>
  </si>
  <si>
    <t>9230 W</t>
  </si>
  <si>
    <t>-17978 W</t>
  </si>
  <si>
    <t>14002 W</t>
  </si>
  <si>
    <t>-22134 W</t>
  </si>
  <si>
    <t>15975 W</t>
  </si>
  <si>
    <t>-11456 W</t>
  </si>
  <si>
    <t>-40633 W</t>
  </si>
  <si>
    <t>-10575 W</t>
  </si>
  <si>
    <t>-41227 W</t>
  </si>
  <si>
    <t>179 W</t>
  </si>
  <si>
    <t>-42303 W</t>
  </si>
  <si>
    <t>-8483 W</t>
  </si>
  <si>
    <t>-33253 W</t>
  </si>
  <si>
    <t>2864 W</t>
  </si>
  <si>
    <t>-42061 W</t>
  </si>
  <si>
    <t>-7783 W</t>
  </si>
  <si>
    <t>-10620 W</t>
  </si>
  <si>
    <t>-42529 W</t>
  </si>
  <si>
    <t>-8349 W</t>
  </si>
  <si>
    <t>-35574 W</t>
  </si>
  <si>
    <t>-8893 W</t>
  </si>
  <si>
    <t>59.88 %</t>
  </si>
  <si>
    <t>-40906 W</t>
  </si>
  <si>
    <t>-8495 W</t>
  </si>
  <si>
    <t>-34303 W</t>
  </si>
  <si>
    <t>61.1 %</t>
  </si>
  <si>
    <t>-36381 W</t>
  </si>
  <si>
    <t>-6335 W</t>
  </si>
  <si>
    <t>39872 W</t>
  </si>
  <si>
    <t>-20396 W</t>
  </si>
  <si>
    <t>8640 W</t>
  </si>
  <si>
    <t>-20634 W</t>
  </si>
  <si>
    <t>2163 W</t>
  </si>
  <si>
    <t>62.195 %</t>
  </si>
  <si>
    <t>-32262 W</t>
  </si>
  <si>
    <t>-9996 W</t>
  </si>
  <si>
    <t>-42347 W</t>
  </si>
  <si>
    <t>368 V</t>
  </si>
  <si>
    <t>14640 W</t>
  </si>
  <si>
    <t>-33169 W</t>
  </si>
  <si>
    <t>7260 W</t>
  </si>
  <si>
    <t>-32112 W</t>
  </si>
  <si>
    <t>-30378 W</t>
  </si>
  <si>
    <t>32896 W</t>
  </si>
  <si>
    <t>-3064 W</t>
  </si>
  <si>
    <t>8856 W</t>
  </si>
  <si>
    <t>-31668 W</t>
  </si>
  <si>
    <t>-9464 W</t>
  </si>
  <si>
    <t>-39839 W</t>
  </si>
  <si>
    <t>9112 W</t>
  </si>
  <si>
    <t>63.415 %</t>
  </si>
  <si>
    <t>25848 W</t>
  </si>
  <si>
    <t>-4512 W</t>
  </si>
  <si>
    <t>25060 W</t>
  </si>
  <si>
    <t>-42893 W</t>
  </si>
  <si>
    <t>-37128 W</t>
  </si>
  <si>
    <t>6925 W</t>
  </si>
  <si>
    <t>11144 W</t>
  </si>
  <si>
    <t>-42157 W</t>
  </si>
  <si>
    <t>49560 W</t>
  </si>
  <si>
    <t>-14698 W</t>
  </si>
  <si>
    <t>18028 W</t>
  </si>
  <si>
    <t>-9205 W</t>
  </si>
  <si>
    <t>23661 W</t>
  </si>
  <si>
    <t>12138 W</t>
  </si>
  <si>
    <t>-24300 W</t>
  </si>
  <si>
    <t>7200 W</t>
  </si>
  <si>
    <t>62.315 %</t>
  </si>
  <si>
    <t>40527 W</t>
  </si>
  <si>
    <t>-40152 W</t>
  </si>
  <si>
    <t>23237 W</t>
  </si>
  <si>
    <t>-12600 W</t>
  </si>
  <si>
    <t>27807 W</t>
  </si>
  <si>
    <t>-21330 W</t>
  </si>
  <si>
    <t>6094 W</t>
  </si>
  <si>
    <t>-28119 W</t>
  </si>
  <si>
    <t>-27816 W</t>
  </si>
  <si>
    <t>540 W</t>
  </si>
  <si>
    <t>31183 W</t>
  </si>
  <si>
    <t>-24985 W</t>
  </si>
  <si>
    <t>17400 W</t>
  </si>
  <si>
    <t>355.5 V</t>
  </si>
  <si>
    <t>28674 W</t>
  </si>
  <si>
    <t>-2673 W</t>
  </si>
  <si>
    <t>29069 W</t>
  </si>
  <si>
    <t>-12351 W</t>
  </si>
  <si>
    <t>27425 W</t>
  </si>
  <si>
    <t>21122 W</t>
  </si>
  <si>
    <t>-22491 W</t>
  </si>
  <si>
    <t>10858 W</t>
  </si>
  <si>
    <t>-21510 W</t>
  </si>
  <si>
    <t>15886 W</t>
  </si>
  <si>
    <t>-6186 W</t>
  </si>
  <si>
    <t>32308 W</t>
  </si>
  <si>
    <t>-10725 W</t>
  </si>
  <si>
    <t>16152 W</t>
  </si>
  <si>
    <t>-10457 W</t>
  </si>
  <si>
    <t>-10949 W</t>
  </si>
  <si>
    <t>43761 W</t>
  </si>
  <si>
    <t>-12848 W</t>
  </si>
  <si>
    <t>16422 W</t>
  </si>
  <si>
    <t>-10858 W</t>
  </si>
  <si>
    <t>36565 W</t>
  </si>
  <si>
    <t>59.755 %</t>
  </si>
  <si>
    <t>-4260 W</t>
  </si>
  <si>
    <t>26224 W</t>
  </si>
  <si>
    <t>-6399 W</t>
  </si>
  <si>
    <t>36006 W</t>
  </si>
  <si>
    <t>32900 W</t>
  </si>
  <si>
    <t>-16530 W</t>
  </si>
  <si>
    <t>30487 W</t>
  </si>
  <si>
    <t>30667 W</t>
  </si>
  <si>
    <t>-3525 W</t>
  </si>
  <si>
    <t>27258 W</t>
  </si>
  <si>
    <t>-5841 W</t>
  </si>
  <si>
    <t>20738 W</t>
  </si>
  <si>
    <t>-9612 W</t>
  </si>
  <si>
    <t>5154 W</t>
  </si>
  <si>
    <t>-34920 W</t>
  </si>
  <si>
    <t>42185 W</t>
  </si>
  <si>
    <t>58.535 %</t>
  </si>
  <si>
    <t>37746 W</t>
  </si>
  <si>
    <t>-12407 W</t>
  </si>
  <si>
    <t>22592 W</t>
  </si>
  <si>
    <t>-12282 W</t>
  </si>
  <si>
    <t>31150 W</t>
  </si>
  <si>
    <t>-13455 W</t>
  </si>
  <si>
    <t>48300 W</t>
  </si>
  <si>
    <t>35947 W</t>
  </si>
  <si>
    <t>-10310 W</t>
  </si>
  <si>
    <t>-13209 W</t>
  </si>
  <si>
    <t>27378 W</t>
  </si>
  <si>
    <t>-12620 W</t>
  </si>
  <si>
    <t>18079 W</t>
  </si>
  <si>
    <t>57.44 %</t>
  </si>
  <si>
    <t>-12087 W</t>
  </si>
  <si>
    <t>33759 W</t>
  </si>
  <si>
    <t>27222 W</t>
  </si>
  <si>
    <t>-9165 W</t>
  </si>
  <si>
    <t>10560 W</t>
  </si>
  <si>
    <t>-42186 W</t>
  </si>
  <si>
    <t>14514 W</t>
  </si>
  <si>
    <t>-29893 W</t>
  </si>
  <si>
    <t>-7298 W</t>
  </si>
  <si>
    <t>32214 W</t>
  </si>
  <si>
    <t>-6372 W</t>
  </si>
  <si>
    <t>23834 W</t>
  </si>
  <si>
    <t>-6327 W</t>
  </si>
  <si>
    <t>21326 W</t>
  </si>
  <si>
    <t>56.34 %</t>
  </si>
  <si>
    <t>38675 W</t>
  </si>
  <si>
    <t>30363 W</t>
  </si>
  <si>
    <t>-9248 W</t>
  </si>
  <si>
    <t>356 V</t>
  </si>
  <si>
    <t>-8366 W</t>
  </si>
  <si>
    <t>-42008 W</t>
  </si>
  <si>
    <t>26085 W</t>
  </si>
  <si>
    <t>-10208 W</t>
  </si>
  <si>
    <t>16591 W</t>
  </si>
  <si>
    <t>-9531 W</t>
  </si>
  <si>
    <t>27495 W</t>
  </si>
  <si>
    <t>-5089 W</t>
  </si>
  <si>
    <t>-16175 W</t>
  </si>
  <si>
    <t>36575 W</t>
  </si>
  <si>
    <t>-23140 W</t>
  </si>
  <si>
    <t>24322 W</t>
  </si>
  <si>
    <t>-4425 W</t>
  </si>
  <si>
    <t>36101 W</t>
  </si>
  <si>
    <t>-11842 W</t>
  </si>
  <si>
    <t>17297 W</t>
  </si>
  <si>
    <t>-4230 W</t>
  </si>
  <si>
    <t>-33417 W</t>
  </si>
  <si>
    <t>11119 W</t>
  </si>
  <si>
    <t>-41238 W</t>
  </si>
  <si>
    <t>-8436 W</t>
  </si>
  <si>
    <t>39656 W</t>
  </si>
  <si>
    <t>55.245 %</t>
  </si>
  <si>
    <t>-3866 W</t>
  </si>
  <si>
    <t>-2297 W</t>
  </si>
  <si>
    <t>41300 W</t>
  </si>
  <si>
    <t>46671 W</t>
  </si>
  <si>
    <t>-9341 W</t>
  </si>
  <si>
    <t>37418 W</t>
  </si>
  <si>
    <t>54.025 %</t>
  </si>
  <si>
    <t>39157 W</t>
  </si>
  <si>
    <t>-12783 W</t>
  </si>
  <si>
    <t>-16838 W</t>
  </si>
  <si>
    <t>25863 W</t>
  </si>
  <si>
    <t>-10485 W</t>
  </si>
  <si>
    <t>24150 W</t>
  </si>
  <si>
    <t>-13275 W</t>
  </si>
  <si>
    <t>-41418 W</t>
  </si>
  <si>
    <t>4779 W</t>
  </si>
  <si>
    <t>16169 W</t>
  </si>
  <si>
    <t>-41124 W</t>
  </si>
  <si>
    <t>21917 W</t>
  </si>
  <si>
    <t>52.805 %</t>
  </si>
  <si>
    <t>38406 W</t>
  </si>
  <si>
    <t>-11401 W</t>
  </si>
  <si>
    <t>9490 W</t>
  </si>
  <si>
    <t>-37294 W</t>
  </si>
  <si>
    <t>1770 W</t>
  </si>
  <si>
    <t>39903 W</t>
  </si>
  <si>
    <t>-15246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</si>
</sst>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[$-40A]_(&quot;$&quot;* #,##0_);[$-40A]_(&quot;$&quot;* \(#,##0\);[$-40A]_(&quot;$&quot;* &quot;-&quot;_);_(@_)"/>
    <numFmt numFmtId="165" formatCode="[$-40A]_(* #,##0_);[$-40A]_(* \(#,##0\);[$-40A]_(* &quot;-&quot;_);_(@_)"/>
    <numFmt numFmtId="166" formatCode="[$-40A]_(&quot;$&quot;* #,##0.00_);[$-40A]_(&quot;$&quot;* \(#,##0.00\);[$-40A]_(&quot;$&quot;* &quot;-&quot;??_);_(@_)"/>
    <numFmt numFmtId="167" formatCode="[$-40A]_(* #,##0.00_);[$-40A]_(* \(#,##0.00\);[$-40A]_(* &quot;-&quot;??_);_(@_)"/>
    <numFmt numFmtId="168" formatCode="[$-40A]dd/mm/yyyy\ h:mm:ss\ AM/PM"/>
    <numFmt numFmtId="169" formatCode="[$-40A]mmm\ dd\,\ yyyy"/>
    <numFmt numFmtId="170" formatCode="[$-40A]mmm\ dd\,\ yyyy\ h:mm:ss\ AM/PM"/>
    <numFmt numFmtId="171" formatCode="[$-40A]0;[$-40A]\-0;[$-40A];@"/>
  </numFmts>
  <fonts count="24" x14ac:knownFonts="1">
    <font>
      <sz val="10"/>
      <name val="Arial"/>
      <family val="2"/>
    </font>
    <font>
      <b/>
      <sz val="7"/>
      <color indexed="8"/>
      <name val="Tahoma"/>
      <family val="2"/>
    </font>
    <font>
      <sz val="10"/>
      <name val="Arial"/>
      <family val="2"/>
    </font>
    <font>
      <sz val="8"/>
      <color indexed="8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0" tint="-0.34998626667073579"/>
      <name val="Segoe UI"/>
      <family val="2"/>
    </font>
    <font>
      <b/>
      <sz val="8"/>
      <color theme="1"/>
      <name val="Tahoma"/>
      <family val="2"/>
    </font>
    <font>
      <b/>
      <sz val="10"/>
      <name val="Arial"/>
      <family val="2"/>
    </font>
    <font>
      <b/>
      <sz val="11"/>
      <color theme="0"/>
      <name val="Segoe UI"/>
      <family val="2"/>
    </font>
    <font>
      <sz val="11"/>
      <color theme="0"/>
      <name val="Segoe UI"/>
      <family val="2"/>
    </font>
    <font>
      <sz val="11"/>
      <name val="Segoe UI"/>
      <family val="2"/>
    </font>
    <font>
      <sz val="11"/>
      <color theme="0" tint="-0.34998626667073579"/>
      <name val="Segoe UI"/>
      <family val="2"/>
    </font>
    <font>
      <sz val="12"/>
      <name val="Segoe UI"/>
      <family val="2"/>
    </font>
    <font>
      <sz val="18"/>
      <color theme="0"/>
      <name val="Segoe UI"/>
      <family val="2"/>
    </font>
    <font>
      <sz val="12"/>
      <color theme="0"/>
      <name val="Segoe UI"/>
      <family val="2"/>
    </font>
    <font>
      <sz val="16"/>
      <color theme="3"/>
      <name val="Segoe UI"/>
      <family val="2"/>
    </font>
    <font>
      <sz val="11"/>
      <name val="Segoe UI"/>
    </font>
    <font>
      <sz val="12"/>
      <name val="Segoe UI"/>
    </font>
  </fonts>
  <fills count="1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10" borderId="0" applyNumberFormat="0"/>
    <xf numFmtId="0" fontId="4" fillId="0" borderId="0"/>
    <xf numFmtId="0" fontId="7" fillId="0" borderId="0" applyNumberFormat="0" applyAlignment="0"/>
    <xf numFmtId="0" fontId="8" fillId="10" borderId="0" applyNumberFormat="0"/>
    <xf numFmtId="169" fontId="4" fillId="10" borderId="0"/>
    <xf numFmtId="0" fontId="9" fillId="0" borderId="0" applyNumberFormat="0"/>
    <xf numFmtId="0" fontId="10" fillId="0" borderId="0" applyNumberFormat="0"/>
    <xf numFmtId="0" fontId="11" fillId="0" borderId="0" applyNumberFormat="0" applyFill="0" applyBorder="0" applyAlignment="0" applyProtection="0">
      <alignment horizontal="right"/>
    </xf>
    <xf numFmtId="0" fontId="9" fillId="0" borderId="0" applyNumberFormat="0"/>
  </cellStyleXfs>
  <cellXfs count="39">
    <xf numFmtId="0" fontId="0" fillId="0" borderId="0" xfId="0"/>
    <xf numFmtId="0" fontId="1" fillId="9" borderId="1" xfId="0" applyFont="1" applyFill="1" applyBorder="1" applyAlignment="1">
      <alignment horizontal="center" wrapText="1"/>
    </xf>
    <xf numFmtId="0" fontId="3" fillId="0" borderId="0" xfId="0" applyFont="1" applyAlignment="1">
      <alignment horizontal="left"/>
    </xf>
    <xf numFmtId="168" fontId="3" fillId="0" borderId="0" xfId="0" applyNumberFormat="1" applyFont="1" applyAlignment="1">
      <alignment horizontal="left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/>
    <xf numFmtId="168" fontId="16" fillId="0" borderId="0" xfId="0" applyNumberFormat="1" applyFont="1"/>
    <xf numFmtId="0" fontId="18" fillId="0" borderId="0" xfId="0" applyFont="1"/>
    <xf numFmtId="0" fontId="16" fillId="0" borderId="0" xfId="15" applyFont="1"/>
    <xf numFmtId="170" fontId="16" fillId="0" borderId="0" xfId="15" applyNumberFormat="1" applyFont="1" applyAlignment="1">
      <alignment horizontal="left"/>
    </xf>
    <xf numFmtId="171" fontId="16" fillId="0" borderId="0" xfId="15" applyNumberFormat="1" applyFont="1"/>
    <xf numFmtId="0" fontId="15" fillId="11" borderId="0" xfId="20" applyFont="1" applyFill="1" applyAlignment="1"/>
    <xf numFmtId="0" fontId="14" fillId="11" borderId="0" xfId="16" applyFont="1" applyFill="1"/>
    <xf numFmtId="169" fontId="16" fillId="0" borderId="0" xfId="15" applyNumberFormat="1" applyFont="1" applyAlignment="1"/>
    <xf numFmtId="0" fontId="16" fillId="0" borderId="0" xfId="15" applyNumberFormat="1" applyFont="1" applyAlignment="1"/>
    <xf numFmtId="0" fontId="19" fillId="11" borderId="0" xfId="13" applyFont="1" applyFill="1" applyAlignment="1">
      <alignment vertical="top"/>
    </xf>
    <xf numFmtId="0" fontId="19" fillId="11" borderId="0" xfId="13" applyFont="1" applyFill="1"/>
    <xf numFmtId="169" fontId="20" fillId="11" borderId="0" xfId="15" applyNumberFormat="1" applyFont="1" applyFill="1" applyAlignment="1">
      <alignment horizontal="center"/>
    </xf>
    <xf numFmtId="2" fontId="19" fillId="11" borderId="0" xfId="13" applyNumberFormat="1" applyFont="1" applyFill="1" applyAlignment="1">
      <alignment horizontal="center"/>
    </xf>
    <xf numFmtId="10" fontId="19" fillId="11" borderId="0" xfId="13" applyNumberFormat="1" applyFont="1" applyFill="1" applyAlignment="1">
      <alignment horizontal="center"/>
    </xf>
    <xf numFmtId="0" fontId="21" fillId="0" borderId="0" xfId="0" applyFont="1"/>
    <xf numFmtId="0" fontId="16" fillId="0" borderId="0" xfId="0" applyFont="1" applyAlignment="1">
      <alignment horizontal="center"/>
    </xf>
    <xf numFmtId="2" fontId="16" fillId="0" borderId="0" xfId="0" applyNumberFormat="1" applyFont="1" applyAlignment="1">
      <alignment horizontal="center"/>
    </xf>
    <xf numFmtId="10" fontId="16" fillId="0" borderId="0" xfId="0" applyNumberFormat="1" applyFont="1" applyAlignment="1">
      <alignment horizontal="center"/>
    </xf>
    <xf numFmtId="0" fontId="15" fillId="12" borderId="2" xfId="21" applyFont="1" applyFill="1" applyBorder="1" applyAlignment="1">
      <alignment horizontal="center" vertical="center"/>
    </xf>
    <xf numFmtId="0" fontId="16" fillId="0" borderId="0" xfId="20" applyFont="1" applyFill="1" applyAlignment="1"/>
    <xf numFmtId="0" fontId="16" fillId="0" borderId="2" xfId="21" applyFont="1" applyBorder="1" applyAlignment="1">
      <alignment horizontal="center" vertical="center"/>
    </xf>
    <xf numFmtId="169" fontId="16" fillId="0" borderId="2" xfId="21" applyNumberFormat="1" applyFont="1" applyBorder="1" applyAlignment="1">
      <alignment horizontal="center" vertical="center"/>
    </xf>
    <xf numFmtId="1" fontId="16" fillId="0" borderId="2" xfId="21" applyNumberFormat="1" applyFont="1" applyBorder="1" applyAlignment="1">
      <alignment horizontal="center" vertical="center"/>
    </xf>
    <xf numFmtId="0" fontId="16" fillId="0" borderId="0" xfId="21" applyFont="1" applyAlignment="1">
      <alignment horizontal="center" vertical="center"/>
    </xf>
    <xf numFmtId="1" fontId="16" fillId="0" borderId="0" xfId="21" applyNumberFormat="1" applyFont="1" applyAlignment="1">
      <alignment horizontal="center" vertical="center"/>
    </xf>
    <xf numFmtId="0" fontId="17" fillId="0" borderId="0" xfId="20" applyFont="1" applyFill="1" applyAlignment="1"/>
    <xf numFmtId="0" fontId="22" fillId="0" borderId="0" xfId="0" applyFont="1"/>
    <xf numFmtId="170" fontId="22" fillId="0" borderId="0" xfId="0" applyNumberFormat="1" applyFont="1"/>
    <xf numFmtId="0" fontId="23" fillId="0" borderId="0" xfId="0" pivotButton="1" applyFont="1"/>
    <xf numFmtId="0" fontId="15" fillId="12" borderId="2" xfId="21" applyFont="1" applyFill="1" applyBorder="1" applyAlignment="1">
      <alignment horizontal="center" vertical="center"/>
    </xf>
  </cellXfs>
  <cellStyles count="2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40% - Accent3" xfId="5" builtinId="39" customBuiltin="1"/>
    <cellStyle name="60% - Accent3" xfId="6" builtinId="40" customBuiltin="1"/>
    <cellStyle name="60% - Accent4" xfId="7" builtinId="44" customBuiltin="1"/>
    <cellStyle name="60% - Accent6" xfId="8" builtinId="52" customBuiltin="1"/>
    <cellStyle name="Comma" xfId="9" builtinId="3" customBuiltin="1"/>
    <cellStyle name="Comma [0]" xfId="10" builtinId="6" customBuiltin="1"/>
    <cellStyle name="Currency" xfId="11" builtinId="4" customBuiltin="1"/>
    <cellStyle name="Currency [0]" xfId="12" builtinId="7" customBuiltin="1"/>
    <cellStyle name="Geotab Report Field Name" xfId="21" xr:uid="{00000000-0005-0000-0000-00000C000000}"/>
    <cellStyle name="Heading" xfId="13" xr:uid="{00000000-0005-0000-0000-00000D000000}"/>
    <cellStyle name="Normal" xfId="0" builtinId="0" customBuiltin="1"/>
    <cellStyle name="Normal 2 2" xfId="14" xr:uid="{00000000-0005-0000-0000-00000F000000}"/>
    <cellStyle name="Report Body" xfId="15" xr:uid="{00000000-0005-0000-0000-000010000000}"/>
    <cellStyle name="Report Column Header" xfId="16" xr:uid="{00000000-0005-0000-0000-000011000000}"/>
    <cellStyle name="Report Creation DateTime" xfId="17" xr:uid="{00000000-0005-0000-0000-000012000000}"/>
    <cellStyle name="Report Field Name" xfId="18" xr:uid="{00000000-0005-0000-0000-000013000000}"/>
    <cellStyle name="Report Name" xfId="19" xr:uid="{00000000-0005-0000-0000-000014000000}"/>
    <cellStyle name="StandardReportHeading" xfId="20" xr:uid="{00000000-0005-0000-0000-000015000000}"/>
  </cellStyles>
  <dxfs count="43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ill>
        <patternFill>
          <bgColor theme="2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2"/>
        </patternFill>
      </fill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5" tint="0.79995117038483843"/>
          <bgColor theme="0" tint="-4.9989318521683403E-2"/>
        </patternFill>
      </fill>
      <border>
        <bottom style="thin">
          <color theme="5" tint="0.39997558519241921"/>
        </bottom>
      </border>
    </dxf>
    <dxf>
      <fill>
        <patternFill patternType="solid">
          <fgColor theme="5" tint="0.79995117038483843"/>
          <bgColor theme="0" tint="-4.9989318521683403E-2"/>
        </patternFill>
      </fill>
      <border>
        <bottom style="thin">
          <color theme="5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5" tint="0.39997558519241921"/>
        </bottom>
      </border>
    </dxf>
    <dxf>
      <font>
        <color theme="1"/>
      </font>
    </dxf>
    <dxf>
      <font>
        <b/>
        <i val="0"/>
        <color theme="1"/>
      </font>
      <fill>
        <patternFill>
          <bgColor theme="0" tint="-4.9989318521683403E-2"/>
        </patternFill>
      </fill>
      <border>
        <top style="thin">
          <color theme="5"/>
        </top>
        <bottom style="thin">
          <color theme="5"/>
        </bottom>
      </border>
    </dxf>
    <dxf>
      <font>
        <color theme="1"/>
      </font>
      <fill>
        <patternFill patternType="solid">
          <fgColor theme="0" tint="-0.14993743705557422"/>
          <bgColor theme="0" tint="-4.9989318521683403E-2"/>
        </patternFill>
      </fill>
    </dxf>
    <dxf>
      <fill>
        <patternFill patternType="solid">
          <fgColor theme="0" tint="-0.14990691854609822"/>
          <bgColor theme="0" tint="-4.9989318521683403E-2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>
          <fgColor theme="8"/>
          <bgColor theme="8"/>
        </patternFill>
      </fill>
    </dxf>
    <dxf>
      <font>
        <b/>
        <i val="0"/>
        <color theme="1"/>
      </font>
      <fill>
        <patternFill patternType="solid">
          <fgColor theme="5" tint="0.79985961485641044"/>
          <bgColor theme="0" tint="-4.9989318521683403E-2"/>
        </patternFill>
      </fill>
      <border>
        <top style="thin">
          <color theme="5" tint="0.39997558519241921"/>
        </top>
      </border>
    </dxf>
    <dxf>
      <font>
        <b/>
        <i val="0"/>
        <color theme="1"/>
      </font>
      <fill>
        <patternFill patternType="solid">
          <fgColor theme="5" tint="0.79989013336588644"/>
          <bgColor theme="0" tint="-4.9989318521683403E-2"/>
        </patternFill>
      </fill>
      <border>
        <bottom style="thin">
          <color theme="5" tint="0.39997558519241921"/>
        </bottom>
      </border>
    </dxf>
    <dxf>
      <font>
        <color theme="3"/>
      </font>
    </dxf>
  </dxfs>
  <tableStyles count="2" defaultTableStyle="TableStyleMedium9" defaultPivotStyle="PivotStyleLightCustom 2">
    <tableStyle name="PivotStyleLightCustom" table="0" count="12" xr9:uid="{00000000-0011-0000-FFFF-FFFF00000000}">
      <tableStyleElement type="wholeTable" dxfId="42"/>
      <tableStyleElement type="headerRow" dxfId="41"/>
      <tableStyleElement type="totalRow" dxfId="40"/>
      <tableStyleElement type="secondRowStripe" dxfId="39"/>
      <tableStyleElement type="firstColumnStripe" dxfId="38"/>
      <tableStyleElement type="firstSubtotalColumn" dxfId="37"/>
      <tableStyleElement type="firstSubtotalRow" dxfId="36"/>
      <tableStyleElement type="secondSubtotalRow" dxfId="35"/>
      <tableStyleElement type="firstRowSubheading" dxfId="34"/>
      <tableStyleElement type="secondRowSubheading" dxfId="33"/>
      <tableStyleElement type="pageFieldLabels" dxfId="32"/>
      <tableStyleElement type="pageFieldValues" dxfId="31"/>
    </tableStyle>
    <tableStyle name="PivotStyleLightCustom 2" table="0" count="3" xr9:uid="{00000000-0011-0000-FFFF-FFFF01000000}">
      <tableStyleElement type="headerRow" dxfId="30"/>
      <tableStyleElement type="firstRowStripe" dxfId="29"/>
      <tableStyleElement type="secondRowStrip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YSTEM" refreshedDate="46091.60723587963" missingItemsLimit="0" createdVersion="4" refreshedVersion="7" recordCount="552" xr:uid="{00000000-000A-0000-FFFF-FFFF09000000}">
  <cacheSource type="worksheet">
    <worksheetSource name="AllData"/>
  </cacheSource>
  <cacheFields count="7">
    <cacheField name="Dispositivo" numFmtId="0">
      <sharedItems count="1">
        <s v="NISSAN LEAF 299-1018"/>
      </sharedItems>
    </cacheField>
    <cacheField name="Grupo de dispositivos" numFmtId="0">
      <sharedItems count="1">
        <s v="Vehicle, Battery Electric Vehicle"/>
      </sharedItems>
    </cacheField>
    <cacheField name="Fecha" numFmtId="170">
      <sharedItems containsSemiMixedTypes="0" containsNonDate="0" containsDate="1" containsString="0" minDate="2026-03-06T06:59:25" maxDate="2026-03-06T10:21:37" count="540">
        <d v="2026-03-06T06:59:25"/>
        <d v="2026-03-06T07:01:45"/>
        <d v="2026-03-06T07:01:53"/>
        <d v="2026-03-06T07:09:07"/>
        <d v="2026-03-06T07:10:20"/>
        <d v="2026-03-06T07:10:27"/>
        <d v="2026-03-06T07:10:34"/>
        <d v="2026-03-06T07:10:40"/>
        <d v="2026-03-06T07:10:54"/>
        <d v="2026-03-06T07:10:58"/>
        <d v="2026-03-06T07:11:38"/>
        <d v="2026-03-06T07:11:47"/>
        <d v="2026-03-06T07:11:51"/>
        <d v="2026-03-06T07:11:59"/>
        <d v="2026-03-06T07:12:03"/>
        <d v="2026-03-06T07:12:16"/>
        <d v="2026-03-06T07:12:23"/>
        <d v="2026-03-06T07:12:24"/>
        <d v="2026-03-06T07:14:31"/>
        <d v="2026-03-06T07:14:38"/>
        <d v="2026-03-06T07:14:44"/>
        <d v="2026-03-06T07:14:51"/>
        <d v="2026-03-06T07:14:55"/>
        <d v="2026-03-06T07:14:57"/>
        <d v="2026-03-06T07:15:10"/>
        <d v="2026-03-06T07:15:12"/>
        <d v="2026-03-06T07:15:21"/>
        <d v="2026-03-06T07:15:48"/>
        <d v="2026-03-06T07:15:49"/>
        <d v="2026-03-06T07:15:50"/>
        <d v="2026-03-06T07:16:10"/>
        <d v="2026-03-06T07:16:15"/>
        <d v="2026-03-06T07:16:19"/>
        <d v="2026-03-06T07:16:24"/>
        <d v="2026-03-06T07:16:38"/>
        <d v="2026-03-06T07:19:39"/>
        <d v="2026-03-06T07:19:46"/>
        <d v="2026-03-06T07:20:01"/>
        <d v="2026-03-06T07:20:04"/>
        <d v="2026-03-06T07:20:08"/>
        <d v="2026-03-06T07:20:14"/>
        <d v="2026-03-06T07:20:19"/>
        <d v="2026-03-06T07:20:26"/>
        <d v="2026-03-06T07:20:32"/>
        <d v="2026-03-06T07:20:43"/>
        <d v="2026-03-06T07:20:48"/>
        <d v="2026-03-06T07:20:57"/>
        <d v="2026-03-06T07:21:03"/>
        <d v="2026-03-06T07:21:19"/>
        <d v="2026-03-06T07:21:25"/>
        <d v="2026-03-06T07:22:50"/>
        <d v="2026-03-06T07:23:05"/>
        <d v="2026-03-06T08:26:49"/>
        <d v="2026-03-06T08:32:27"/>
        <d v="2026-03-06T08:32:37"/>
        <d v="2026-03-06T08:33:24"/>
        <d v="2026-03-06T08:33:30"/>
        <d v="2026-03-06T08:33:32"/>
        <d v="2026-03-06T08:33:35"/>
        <d v="2026-03-06T08:33:58"/>
        <d v="2026-03-06T08:34:21"/>
        <d v="2026-03-06T08:34:25"/>
        <d v="2026-03-06T08:34:42"/>
        <d v="2026-03-06T08:35:30"/>
        <d v="2026-03-06T08:35:36"/>
        <d v="2026-03-06T08:36:10"/>
        <d v="2026-03-06T08:36:21"/>
        <d v="2026-03-06T08:36:45"/>
        <d v="2026-03-06T08:37:03"/>
        <d v="2026-03-06T08:37:15"/>
        <d v="2026-03-06T08:41:25"/>
        <d v="2026-03-06T08:41:35"/>
        <d v="2026-03-06T08:41:38"/>
        <d v="2026-03-06T08:43:15"/>
        <d v="2026-03-06T08:43:19"/>
        <d v="2026-03-06T08:46:48"/>
        <d v="2026-03-06T08:46:55"/>
        <d v="2026-03-06T08:48:27"/>
        <d v="2026-03-06T08:48:34"/>
        <d v="2026-03-06T08:49:15"/>
        <d v="2026-03-06T08:49:22"/>
        <d v="2026-03-06T08:49:54"/>
        <d v="2026-03-06T08:50:04"/>
        <d v="2026-03-06T08:50:13"/>
        <d v="2026-03-06T08:50:17"/>
        <d v="2026-03-06T08:50:40"/>
        <d v="2026-03-06T08:50:43"/>
        <d v="2026-03-06T08:50:46"/>
        <d v="2026-03-06T08:50:57"/>
        <d v="2026-03-06T08:50:59"/>
        <d v="2026-03-06T08:51:02"/>
        <d v="2026-03-06T08:51:06"/>
        <d v="2026-03-06T08:51:07"/>
        <d v="2026-03-06T08:51:09"/>
        <d v="2026-03-06T08:51:11"/>
        <d v="2026-03-06T08:51:23"/>
        <d v="2026-03-06T08:51:27"/>
        <d v="2026-03-06T08:51:30"/>
        <d v="2026-03-06T08:51:45"/>
        <d v="2026-03-06T08:51:58"/>
        <d v="2026-03-06T08:52:06"/>
        <d v="2026-03-06T08:52:07"/>
        <d v="2026-03-06T08:52:15"/>
        <d v="2026-03-06T08:52:17"/>
        <d v="2026-03-06T08:52:28"/>
        <d v="2026-03-06T08:52:42"/>
        <d v="2026-03-06T08:52:51"/>
        <d v="2026-03-06T08:53:01"/>
        <d v="2026-03-06T08:53:06"/>
        <d v="2026-03-06T08:53:07"/>
        <d v="2026-03-06T08:53:30"/>
        <d v="2026-03-06T08:53:31"/>
        <d v="2026-03-06T08:53:52"/>
        <d v="2026-03-06T08:53:56"/>
        <d v="2026-03-06T08:53:57"/>
        <d v="2026-03-06T08:54:02"/>
        <d v="2026-03-06T08:54:06"/>
        <d v="2026-03-06T08:54:16"/>
        <d v="2026-03-06T08:54:17"/>
        <d v="2026-03-06T08:54:20"/>
        <d v="2026-03-06T08:54:29"/>
        <d v="2026-03-06T08:54:40"/>
        <d v="2026-03-06T08:54:54"/>
        <d v="2026-03-06T08:55:03"/>
        <d v="2026-03-06T08:55:16"/>
        <d v="2026-03-06T08:56:07"/>
        <d v="2026-03-06T08:56:15"/>
        <d v="2026-03-06T08:56:18"/>
        <d v="2026-03-06T08:56:22"/>
        <d v="2026-03-06T08:56:35"/>
        <d v="2026-03-06T08:56:53"/>
        <d v="2026-03-06T08:57:08"/>
        <d v="2026-03-06T08:57:15"/>
        <d v="2026-03-06T08:57:18"/>
        <d v="2026-03-06T08:57:23"/>
        <d v="2026-03-06T08:57:33"/>
        <d v="2026-03-06T08:57:34"/>
        <d v="2026-03-06T08:57:52"/>
        <d v="2026-03-06T08:57:59"/>
        <d v="2026-03-06T08:58:11"/>
        <d v="2026-03-06T08:58:14"/>
        <d v="2026-03-06T08:58:19"/>
        <d v="2026-03-06T08:58:37"/>
        <d v="2026-03-06T08:58:40"/>
        <d v="2026-03-06T08:58:52"/>
        <d v="2026-03-06T08:58:56"/>
        <d v="2026-03-06T08:59:01"/>
        <d v="2026-03-06T08:59:03"/>
        <d v="2026-03-06T08:59:23"/>
        <d v="2026-03-06T08:59:32"/>
        <d v="2026-03-06T08:59:42"/>
        <d v="2026-03-06T08:59:54"/>
        <d v="2026-03-06T08:59:58"/>
        <d v="2026-03-06T09:00:11"/>
        <d v="2026-03-06T09:00:12"/>
        <d v="2026-03-06T09:00:25"/>
        <d v="2026-03-06T09:00:33"/>
        <d v="2026-03-06T09:00:38"/>
        <d v="2026-03-06T09:00:44"/>
        <d v="2026-03-06T09:00:46"/>
        <d v="2026-03-06T09:00:49"/>
        <d v="2026-03-06T09:00:55"/>
        <d v="2026-03-06T09:00:56"/>
        <d v="2026-03-06T09:01:29"/>
        <d v="2026-03-06T09:01:30"/>
        <d v="2026-03-06T09:01:32"/>
        <d v="2026-03-06T09:02:00"/>
        <d v="2026-03-06T09:02:07"/>
        <d v="2026-03-06T09:02:14"/>
        <d v="2026-03-06T09:02:15"/>
        <d v="2026-03-06T09:02:20"/>
        <d v="2026-03-06T09:02:24"/>
        <d v="2026-03-06T09:02:26"/>
        <d v="2026-03-06T09:02:32"/>
        <d v="2026-03-06T09:02:50"/>
        <d v="2026-03-06T09:02:59"/>
        <d v="2026-03-06T09:03:13"/>
        <d v="2026-03-06T09:03:18"/>
        <d v="2026-03-06T09:03:20"/>
        <d v="2026-03-06T09:03:29"/>
        <d v="2026-03-06T09:03:35"/>
        <d v="2026-03-06T09:04:04"/>
        <d v="2026-03-06T09:04:10"/>
        <d v="2026-03-06T09:04:20"/>
        <d v="2026-03-06T09:04:31"/>
        <d v="2026-03-06T09:04:33"/>
        <d v="2026-03-06T09:04:42"/>
        <d v="2026-03-06T09:05:18"/>
        <d v="2026-03-06T09:06:24"/>
        <d v="2026-03-06T09:06:28"/>
        <d v="2026-03-06T09:06:30"/>
        <d v="2026-03-06T09:06:34"/>
        <d v="2026-03-06T09:06:43"/>
        <d v="2026-03-06T09:06:48"/>
        <d v="2026-03-06T09:06:50"/>
        <d v="2026-03-06T09:07:01"/>
        <d v="2026-03-06T09:07:10"/>
        <d v="2026-03-06T09:07:25"/>
        <d v="2026-03-06T09:07:28"/>
        <d v="2026-03-06T09:07:56"/>
        <d v="2026-03-06T09:08:04"/>
        <d v="2026-03-06T09:11:44"/>
        <d v="2026-03-06T09:12:02"/>
        <d v="2026-03-06T09:12:04"/>
        <d v="2026-03-06T09:12:07"/>
        <d v="2026-03-06T09:12:40"/>
        <d v="2026-03-06T09:12:49"/>
        <d v="2026-03-06T09:12:51"/>
        <d v="2026-03-06T09:12:52"/>
        <d v="2026-03-06T09:13:35"/>
        <d v="2026-03-06T09:13:46"/>
        <d v="2026-03-06T09:13:57"/>
        <d v="2026-03-06T09:14:12"/>
        <d v="2026-03-06T09:14:18"/>
        <d v="2026-03-06T09:14:39"/>
        <d v="2026-03-06T09:14:53"/>
        <d v="2026-03-06T09:15:17"/>
        <d v="2026-03-06T09:15:28"/>
        <d v="2026-03-06T09:15:34"/>
        <d v="2026-03-06T09:15:35"/>
        <d v="2026-03-06T09:15:53"/>
        <d v="2026-03-06T09:15:54"/>
        <d v="2026-03-06T09:16:14"/>
        <d v="2026-03-06T09:16:18"/>
        <d v="2026-03-06T09:16:25"/>
        <d v="2026-03-06T09:16:28"/>
        <d v="2026-03-06T09:16:32"/>
        <d v="2026-03-06T09:16:45"/>
        <d v="2026-03-06T09:16:51"/>
        <d v="2026-03-06T09:17:14"/>
        <d v="2026-03-06T09:18:07"/>
        <d v="2026-03-06T09:18:26"/>
        <d v="2026-03-06T09:18:30"/>
        <d v="2026-03-06T09:18:35"/>
        <d v="2026-03-06T09:18:46"/>
        <d v="2026-03-06T09:18:50"/>
        <d v="2026-03-06T09:19:00"/>
        <d v="2026-03-06T09:19:04"/>
        <d v="2026-03-06T09:19:38"/>
        <d v="2026-03-06T09:19:42"/>
        <d v="2026-03-06T09:19:51"/>
        <d v="2026-03-06T09:20:12"/>
        <d v="2026-03-06T09:20:20"/>
        <d v="2026-03-06T09:20:27"/>
        <d v="2026-03-06T09:20:32"/>
        <d v="2026-03-06T09:20:45"/>
        <d v="2026-03-06T09:21:07"/>
        <d v="2026-03-06T09:21:15"/>
        <d v="2026-03-06T09:21:36"/>
        <d v="2026-03-06T09:21:59"/>
        <d v="2026-03-06T09:22:04"/>
        <d v="2026-03-06T09:22:19"/>
        <d v="2026-03-06T09:22:24"/>
        <d v="2026-03-06T09:22:56"/>
        <d v="2026-03-06T09:23:02"/>
        <d v="2026-03-06T09:23:04"/>
        <d v="2026-03-06T09:23:10"/>
        <d v="2026-03-06T09:23:13"/>
        <d v="2026-03-06T09:23:41"/>
        <d v="2026-03-06T09:23:48"/>
        <d v="2026-03-06T09:24:05"/>
        <d v="2026-03-06T09:24:09"/>
        <d v="2026-03-06T09:24:17"/>
        <d v="2026-03-06T09:24:20"/>
        <d v="2026-03-06T09:24:27"/>
        <d v="2026-03-06T09:24:30"/>
        <d v="2026-03-06T09:24:40"/>
        <d v="2026-03-06T09:25:12"/>
        <d v="2026-03-06T09:25:27"/>
        <d v="2026-03-06T09:25:36"/>
        <d v="2026-03-06T09:25:52"/>
        <d v="2026-03-06T09:26:17"/>
        <d v="2026-03-06T09:26:57"/>
        <d v="2026-03-06T09:26:58"/>
        <d v="2026-03-06T09:27:00"/>
        <d v="2026-03-06T09:27:27"/>
        <d v="2026-03-06T09:27:34"/>
        <d v="2026-03-06T09:27:36"/>
        <d v="2026-03-06T09:27:48"/>
        <d v="2026-03-06T09:28:10"/>
        <d v="2026-03-06T09:28:30"/>
        <d v="2026-03-06T09:28:34"/>
        <d v="2026-03-06T09:29:27"/>
        <d v="2026-03-06T09:29:30"/>
        <d v="2026-03-06T09:29:37"/>
        <d v="2026-03-06T09:30:02"/>
        <d v="2026-03-06T09:30:09"/>
        <d v="2026-03-06T09:30:26"/>
        <d v="2026-03-06T09:30:36"/>
        <d v="2026-03-06T09:30:42"/>
        <d v="2026-03-06T09:30:47"/>
        <d v="2026-03-06T09:30:56"/>
        <d v="2026-03-06T09:31:29"/>
        <d v="2026-03-06T09:31:40"/>
        <d v="2026-03-06T09:31:54"/>
        <d v="2026-03-06T09:31:57"/>
        <d v="2026-03-06T09:33:34"/>
        <d v="2026-03-06T09:33:37"/>
        <d v="2026-03-06T09:33:42"/>
        <d v="2026-03-06T09:33:59"/>
        <d v="2026-03-06T09:34:33"/>
        <d v="2026-03-06T09:34:38"/>
        <d v="2026-03-06T09:34:57"/>
        <d v="2026-03-06T09:35:01"/>
        <d v="2026-03-06T09:35:37"/>
        <d v="2026-03-06T09:35:46"/>
        <d v="2026-03-06T09:35:53"/>
        <d v="2026-03-06T09:36:10"/>
        <d v="2026-03-06T09:36:36"/>
        <d v="2026-03-06T09:36:38"/>
        <d v="2026-03-06T09:36:46"/>
        <d v="2026-03-06T09:36:53"/>
        <d v="2026-03-06T09:36:55"/>
        <d v="2026-03-06T09:36:57"/>
        <d v="2026-03-06T09:37:04"/>
        <d v="2026-03-06T09:37:10"/>
        <d v="2026-03-06T09:37:12"/>
        <d v="2026-03-06T09:37:13"/>
        <d v="2026-03-06T09:37:37"/>
        <d v="2026-03-06T09:37:38"/>
        <d v="2026-03-06T09:37:39"/>
        <d v="2026-03-06T09:37:56"/>
        <d v="2026-03-06T09:37:59"/>
        <d v="2026-03-06T09:38:02"/>
        <d v="2026-03-06T09:38:05"/>
        <d v="2026-03-06T09:38:31"/>
        <d v="2026-03-06T09:38:33"/>
        <d v="2026-03-06T09:38:36"/>
        <d v="2026-03-06T09:38:50"/>
        <d v="2026-03-06T09:38:59"/>
        <d v="2026-03-06T09:39:07"/>
        <d v="2026-03-06T09:39:09"/>
        <d v="2026-03-06T09:39:11"/>
        <d v="2026-03-06T09:39:18"/>
        <d v="2026-03-06T09:39:28"/>
        <d v="2026-03-06T09:39:32"/>
        <d v="2026-03-06T09:39:47"/>
        <d v="2026-03-06T09:40:32"/>
        <d v="2026-03-06T09:40:51"/>
        <d v="2026-03-06T09:40:52"/>
        <d v="2026-03-06T09:40:56"/>
        <d v="2026-03-06T09:40:57"/>
        <d v="2026-03-06T09:41:01"/>
        <d v="2026-03-06T09:41:11"/>
        <d v="2026-03-06T09:41:13"/>
        <d v="2026-03-06T09:41:29"/>
        <d v="2026-03-06T09:41:40"/>
        <d v="2026-03-06T09:41:58"/>
        <d v="2026-03-06T09:42:20"/>
        <d v="2026-03-06T09:42:27"/>
        <d v="2026-03-06T09:43:00"/>
        <d v="2026-03-06T09:43:02"/>
        <d v="2026-03-06T09:43:05"/>
        <d v="2026-03-06T09:43:24"/>
        <d v="2026-03-06T09:43:25"/>
        <d v="2026-03-06T09:43:38"/>
        <d v="2026-03-06T09:44:00"/>
        <d v="2026-03-06T09:44:03"/>
        <d v="2026-03-06T09:45:00"/>
        <d v="2026-03-06T09:45:38"/>
        <d v="2026-03-06T09:45:47"/>
        <d v="2026-03-06T09:45:52"/>
        <d v="2026-03-06T09:47:23"/>
        <d v="2026-03-06T09:47:32"/>
        <d v="2026-03-06T09:47:37"/>
        <d v="2026-03-06T09:47:44"/>
        <d v="2026-03-06T09:47:58"/>
        <d v="2026-03-06T09:48:36"/>
        <d v="2026-03-06T09:48:38"/>
        <d v="2026-03-06T09:49:12"/>
        <d v="2026-03-06T09:49:14"/>
        <d v="2026-03-06T09:49:20"/>
        <d v="2026-03-06T09:49:40"/>
        <d v="2026-03-06T09:49:46"/>
        <d v="2026-03-06T09:49:55"/>
        <d v="2026-03-06T09:50:10"/>
        <d v="2026-03-06T09:50:22"/>
        <d v="2026-03-06T09:50:30"/>
        <d v="2026-03-06T09:50:35"/>
        <d v="2026-03-06T09:51:00"/>
        <d v="2026-03-06T09:51:09"/>
        <d v="2026-03-06T09:51:25"/>
        <d v="2026-03-06T09:51:28"/>
        <d v="2026-03-06T09:51:33"/>
        <d v="2026-03-06T09:51:39"/>
        <d v="2026-03-06T09:51:58"/>
        <d v="2026-03-06T09:52:01"/>
        <d v="2026-03-06T09:52:08"/>
        <d v="2026-03-06T09:52:16"/>
        <d v="2026-03-06T09:52:19"/>
        <d v="2026-03-06T09:52:21"/>
        <d v="2026-03-06T09:53:14"/>
        <d v="2026-03-06T09:53:19"/>
        <d v="2026-03-06T09:53:52"/>
        <d v="2026-03-06T09:54:01"/>
        <d v="2026-03-06T09:54:14"/>
        <d v="2026-03-06T09:54:36"/>
        <d v="2026-03-06T09:54:39"/>
        <d v="2026-03-06T09:54:49"/>
        <d v="2026-03-06T09:54:51"/>
        <d v="2026-03-06T09:54:53"/>
        <d v="2026-03-06T09:54:59"/>
        <d v="2026-03-06T09:55:08"/>
        <d v="2026-03-06T09:55:15"/>
        <d v="2026-03-06T09:55:24"/>
        <d v="2026-03-06T09:55:31"/>
        <d v="2026-03-06T09:55:43"/>
        <d v="2026-03-06T09:55:47"/>
        <d v="2026-03-06T09:55:52"/>
        <d v="2026-03-06T09:56:24"/>
        <d v="2026-03-06T09:56:48"/>
        <d v="2026-03-06T09:56:59"/>
        <d v="2026-03-06T09:57:00"/>
        <d v="2026-03-06T09:57:03"/>
        <d v="2026-03-06T09:57:05"/>
        <d v="2026-03-06T09:57:21"/>
        <d v="2026-03-06T09:57:55"/>
        <d v="2026-03-06T09:58:00"/>
        <d v="2026-03-06T09:58:11"/>
        <d v="2026-03-06T09:58:17"/>
        <d v="2026-03-06T09:58:21"/>
        <d v="2026-03-06T09:58:34"/>
        <d v="2026-03-06T09:58:38"/>
        <d v="2026-03-06T09:58:39"/>
        <d v="2026-03-06T09:58:55"/>
        <d v="2026-03-06T09:58:59"/>
        <d v="2026-03-06T09:59:02"/>
        <d v="2026-03-06T10:00:36"/>
        <d v="2026-03-06T10:00:38"/>
        <d v="2026-03-06T10:00:54"/>
        <d v="2026-03-06T10:01:19"/>
        <d v="2026-03-06T10:01:20"/>
        <d v="2026-03-06T10:01:44"/>
        <d v="2026-03-06T10:01:59"/>
        <d v="2026-03-06T10:02:06"/>
        <d v="2026-03-06T10:02:38"/>
        <d v="2026-03-06T10:02:40"/>
        <d v="2026-03-06T10:02:44"/>
        <d v="2026-03-06T10:03:00"/>
        <d v="2026-03-06T10:03:03"/>
        <d v="2026-03-06T10:03:29"/>
        <d v="2026-03-06T10:03:31"/>
        <d v="2026-03-06T10:03:34"/>
        <d v="2026-03-06T10:03:43"/>
        <d v="2026-03-06T10:03:47"/>
        <d v="2026-03-06T10:03:52"/>
        <d v="2026-03-06T10:03:55"/>
        <d v="2026-03-06T10:04:04"/>
        <d v="2026-03-06T10:04:06"/>
        <d v="2026-03-06T10:04:27"/>
        <d v="2026-03-06T10:04:29"/>
        <d v="2026-03-06T10:04:54"/>
        <d v="2026-03-06T10:05:00"/>
        <d v="2026-03-06T10:05:35"/>
        <d v="2026-03-06T10:05:44"/>
        <d v="2026-03-06T10:05:51"/>
        <d v="2026-03-06T10:06:00"/>
        <d v="2026-03-06T10:06:08"/>
        <d v="2026-03-06T10:06:09"/>
        <d v="2026-03-06T10:06:12"/>
        <d v="2026-03-06T10:06:19"/>
        <d v="2026-03-06T10:06:49"/>
        <d v="2026-03-06T10:06:50"/>
        <d v="2026-03-06T10:07:16"/>
        <d v="2026-03-06T10:07:21"/>
        <d v="2026-03-06T10:07:24"/>
        <d v="2026-03-06T10:07:25"/>
        <d v="2026-03-06T10:07:38"/>
        <d v="2026-03-06T10:07:49"/>
        <d v="2026-03-06T10:07:56"/>
        <d v="2026-03-06T10:08:17"/>
        <d v="2026-03-06T10:08:20"/>
        <d v="2026-03-06T10:08:34"/>
        <d v="2026-03-06T10:08:40"/>
        <d v="2026-03-06T10:09:11"/>
        <d v="2026-03-06T10:09:13"/>
        <d v="2026-03-06T10:09:19"/>
        <d v="2026-03-06T10:09:33"/>
        <d v="2026-03-06T10:09:56"/>
        <d v="2026-03-06T10:10:04"/>
        <d v="2026-03-06T10:10:32"/>
        <d v="2026-03-06T10:10:39"/>
        <d v="2026-03-06T10:10:47"/>
        <d v="2026-03-06T10:11:27"/>
        <d v="2026-03-06T10:11:30"/>
        <d v="2026-03-06T10:12:09"/>
        <d v="2026-03-06T10:12:21"/>
        <d v="2026-03-06T10:12:24"/>
        <d v="2026-03-06T10:12:46"/>
        <d v="2026-03-06T10:13:01"/>
        <d v="2026-03-06T10:13:03"/>
        <d v="2026-03-06T10:13:20"/>
        <d v="2026-03-06T10:13:25"/>
        <d v="2026-03-06T10:13:38"/>
        <d v="2026-03-06T10:13:41"/>
        <d v="2026-03-06T10:13:51"/>
        <d v="2026-03-06T10:13:56"/>
        <d v="2026-03-06T10:14:02"/>
        <d v="2026-03-06T10:14:03"/>
        <d v="2026-03-06T10:14:45"/>
        <d v="2026-03-06T10:14:58"/>
        <d v="2026-03-06T10:15:07"/>
        <d v="2026-03-06T10:15:14"/>
        <d v="2026-03-06T10:15:26"/>
        <d v="2026-03-06T10:15:37"/>
        <d v="2026-03-06T10:15:42"/>
        <d v="2026-03-06T10:15:51"/>
        <d v="2026-03-06T10:16:37"/>
        <d v="2026-03-06T10:16:41"/>
        <d v="2026-03-06T10:17:05"/>
        <d v="2026-03-06T10:17:14"/>
        <d v="2026-03-06T10:17:15"/>
        <d v="2026-03-06T10:17:36"/>
        <d v="2026-03-06T10:17:42"/>
        <d v="2026-03-06T10:17:45"/>
        <d v="2026-03-06T10:17:47"/>
        <d v="2026-03-06T10:17:53"/>
        <d v="2026-03-06T10:17:56"/>
        <d v="2026-03-06T10:17:57"/>
        <d v="2026-03-06T10:18:22"/>
        <d v="2026-03-06T10:18:31"/>
        <d v="2026-03-06T10:18:33"/>
        <d v="2026-03-06T10:18:53"/>
        <d v="2026-03-06T10:19:05"/>
        <d v="2026-03-06T10:19:08"/>
        <d v="2026-03-06T10:19:18"/>
        <d v="2026-03-06T10:19:47"/>
        <d v="2026-03-06T10:19:48"/>
        <d v="2026-03-06T10:19:51"/>
        <d v="2026-03-06T10:20:06"/>
        <d v="2026-03-06T10:20:09"/>
        <d v="2026-03-06T10:20:12"/>
        <d v="2026-03-06T10:20:42"/>
        <d v="2026-03-06T10:20:46"/>
        <d v="2026-03-06T10:20:48"/>
        <d v="2026-03-06T10:21:11"/>
        <d v="2026-03-06T10:21:16"/>
        <d v="2026-03-06T10:21:18"/>
        <d v="2026-03-06T10:21:35"/>
        <d v="2026-03-06T10:21:37"/>
      </sharedItems>
    </cacheField>
    <cacheField name="Descripción" numFmtId="0">
      <sharedItems count="3">
        <s v="Estado de carga genérico"/>
        <s v="Voltaje de la batería de alta tensión"/>
        <s v="Energía de la batería del vehículo eléctrico"/>
      </sharedItems>
    </cacheField>
    <cacheField name="Fuente" numFmtId="0">
      <sharedItems count="1">
        <s v="Telematics Device"/>
      </sharedItems>
    </cacheField>
    <cacheField name="Controlador de motor" numFmtId="171">
      <sharedItems containsSemiMixedTypes="0" containsString="0" containsNumber="1" containsInteger="1" minValue="0" maxValue="0" count="1">
        <n v="0"/>
      </sharedItems>
    </cacheField>
    <cacheField name="Valor" numFmtId="0">
      <sharedItems count="540">
        <s v="78.66 %"/>
        <s v="376 V"/>
        <s v="564 W"/>
        <s v="188 W"/>
        <s v="376 W"/>
        <s v="22134 W"/>
        <s v="-26320 W"/>
        <s v="19183 W"/>
        <s v="-23027 W"/>
        <s v="-29585 W"/>
        <s v="0 W"/>
        <s v="20673 W"/>
        <s v="-31563 W"/>
        <s v="24000 W"/>
        <s v="-16875 W"/>
        <s v="19396 W"/>
        <s v="-749 W"/>
        <s v="32560 W"/>
        <s v="2586 W"/>
        <s v="-370 W"/>
        <s v="33394 W"/>
        <s v="-18090 W"/>
        <s v="29190 W"/>
        <s v="-33428 W"/>
        <s v="-564 W"/>
        <s v="13950 W"/>
        <s v="-29427 W"/>
        <s v="18042 W"/>
        <s v="-20542 W"/>
        <s v="77.56 %"/>
        <s v="12885 W"/>
        <s v="30668 W"/>
        <s v="-7843 W"/>
        <s v="25228 W"/>
        <s v="-6891 W"/>
        <s v="23341 W"/>
        <s v="-8030 W"/>
        <s v="19902 W"/>
        <s v="-1671 W"/>
        <s v="27527 W"/>
        <s v="-12090 W"/>
        <s v="24840 W"/>
        <s v="-18228 W"/>
        <s v="24638 W"/>
        <s v="-23436 W"/>
        <s v="18438 W"/>
        <s v="-22350 W"/>
        <s v="18735 W"/>
        <s v="-1117 W"/>
        <s v="38007 W"/>
        <s v="-369 W"/>
        <s v="76.585 %"/>
        <s v="372.5 V"/>
        <s v="186 W"/>
        <s v="373 V"/>
        <s v="373 W"/>
        <s v="-21820 W"/>
        <s v="8556 W"/>
        <s v="11501 W"/>
        <s v="4855 W"/>
        <s v="-34689 W"/>
        <s v="9911 W"/>
        <s v="-18024 W"/>
        <s v="17945 W"/>
        <s v="-43081 W"/>
        <s v="17736 W"/>
        <s v="-15603 W"/>
        <s v="11130 W"/>
        <s v="75.49 %"/>
        <s v="-14773 W"/>
        <s v="18685 W"/>
        <s v="-22536 W"/>
        <s v="3906 W"/>
        <s v="-11100 W"/>
        <s v="24486 W"/>
        <s v="-10216 W"/>
        <s v="15375 W"/>
        <s v="-24519 W"/>
        <s v="13302 W"/>
        <s v="-14302 W"/>
        <s v="-14586 W"/>
        <s v="15396 W"/>
        <s v="15456 W"/>
        <s v="-15682 W"/>
        <s v="14206 W"/>
        <s v="11607 W"/>
        <s v="-15666 W"/>
        <s v="27046 W"/>
        <s v="-12111 W"/>
        <s v="20763 W"/>
        <s v="-19821 W"/>
        <s v="16744 W"/>
        <s v="-15435 W"/>
        <s v="30073 W"/>
        <s v="29788 W"/>
        <s v="-10051 W"/>
        <s v="19980 W"/>
        <s v="74.27 %"/>
        <s v="28613 W"/>
        <s v="-10767 W"/>
        <s v="17664 W"/>
        <s v="-19266 W"/>
        <s v="30195 W"/>
        <s v="23907 W"/>
        <s v="-13322 W"/>
        <s v="34169 W"/>
        <s v="-18200 W"/>
        <s v="41358 W"/>
        <s v="-9451 W"/>
        <s v="73.17 %"/>
        <s v="-9447 W"/>
        <s v="23184 W"/>
        <s v="-9685 W"/>
        <s v="21990 W"/>
        <s v="-10797 W"/>
        <s v="31261 W"/>
        <s v="29080 W"/>
        <s v="-12722 W"/>
        <s v="15168 W"/>
        <s v="-37740 W"/>
        <s v="-15417 W"/>
        <s v="-42908 W"/>
        <s v="-1114 W"/>
        <s v="43856 W"/>
        <s v="-11607 W"/>
        <s v="-32394 W"/>
        <s v="3890 W"/>
        <s v="-26120 W"/>
        <s v="34451 W"/>
        <s v="-4243 W"/>
        <s v="29422 W"/>
        <s v="-6570 W"/>
        <s v="31668 W"/>
        <s v="-18952 W"/>
        <s v="32169 W"/>
        <s v="-11239 W"/>
        <s v="25915 W"/>
        <s v="-11830 W"/>
        <s v="32488 W"/>
        <s v="-13956 W"/>
        <s v="8107 W"/>
        <s v="-43699 W"/>
        <s v="30686 W"/>
        <s v="-24723 W"/>
        <s v="20240 W"/>
        <s v="34350 W"/>
        <s v="-11056 W"/>
        <s v="72.075 %"/>
        <s v="-9409 W"/>
        <s v="23456 W"/>
        <s v="-16949 W"/>
        <s v="42580 W"/>
        <s v="-18558 W"/>
        <s v="27080 W"/>
        <s v="32535 W"/>
        <s v="-11781 W"/>
        <s v="23478 W"/>
        <s v="-10178 W"/>
        <s v="17225 W"/>
        <s v="-11055 W"/>
        <s v="26280 W"/>
        <s v="-10870 W"/>
        <s v="26645 W"/>
        <s v="-9100 W"/>
        <s v="21381 W"/>
        <s v="-9982 W"/>
        <s v="13340 W"/>
        <s v="-13523 W"/>
        <s v="22662 W"/>
        <s v="-34592 W"/>
        <s v="7001 W"/>
        <s v="-29176 W"/>
        <s v="9646 W"/>
        <s v="32032 W"/>
        <s v="-6561 W"/>
        <s v="27884 W"/>
        <s v="70.975 %"/>
        <s v="-10905 W"/>
        <s v="15812 W"/>
        <s v="-8107 W"/>
        <s v="30660 W"/>
        <s v="-11434 W"/>
        <s v="18191 W"/>
        <s v="-11728 W"/>
        <s v="14457 W"/>
        <s v="-15910 W"/>
        <s v="6808 W"/>
        <s v="-42392 W"/>
        <s v="-5960 W"/>
        <s v="16331 W"/>
        <s v="-25970 W"/>
        <s v="47225 W"/>
        <s v="45000 W"/>
        <s v="-7581 W"/>
        <s v="39222 W"/>
        <s v="1810 W"/>
        <s v="28659 W"/>
        <s v="-12833 W"/>
        <s v="17968 W"/>
        <s v="-17751 W"/>
        <s v="26788 W"/>
        <s v="-4344 W"/>
        <s v="-25725 W"/>
        <s v="8772 W"/>
        <s v="14235 W"/>
        <s v="-2024 W"/>
        <s v="-44464 W"/>
        <s v="-9250 W"/>
        <s v="-6992 W"/>
        <s v="44583 W"/>
        <s v="44460 W"/>
        <s v="-8987 W"/>
        <s v="13505 W"/>
        <s v="-40959 W"/>
        <s v="6063 W"/>
        <s v="-43036 W"/>
        <s v="-36132 W"/>
        <s v="7176 W"/>
        <s v="-34175 W"/>
        <s v="-2220 W"/>
        <s v="-38213 W"/>
        <s v="-4862 W"/>
        <s v="-7410 W"/>
        <s v="-34271 W"/>
        <s v="5372 W"/>
        <s v="-31677 W"/>
        <s v="-7605 W"/>
        <s v="-38011 W"/>
        <s v="-1486 W"/>
        <s v="-42780 W"/>
        <s v="928 W"/>
        <s v="36085 W"/>
        <s v="5808 W"/>
        <s v="35670 W"/>
        <s v="-1263 W"/>
        <s v="69.755 %"/>
        <s v="26028 W"/>
        <s v="-30435 W"/>
        <s v="16153 W"/>
        <s v="-10023 W"/>
        <s v="-4191 W"/>
        <s v="36100 W"/>
        <s v="-5061 W"/>
        <s v="19393 W"/>
        <s v="-10206 W"/>
        <s v="39150 W"/>
        <s v="-11191 W"/>
        <s v="35788 W"/>
        <s v="-8178 W"/>
        <s v="23465 W"/>
        <s v="68.415 %"/>
        <s v="34726 W"/>
        <s v="-3410 W"/>
        <s v="33915 W"/>
        <s v="-1795 W"/>
        <s v="67.075 %"/>
        <s v="34189 W"/>
        <s v="1247 W"/>
        <s v="29946 W"/>
        <s v="-6849 W"/>
        <s v="21840 W"/>
        <s v="-11632 W"/>
        <s v="28580 W"/>
        <s v="-4481 W"/>
        <s v="25305 W"/>
        <s v="-1260 W"/>
        <s v="37024 W"/>
        <s v="1955 W"/>
        <s v="-23645 W"/>
        <s v="28957 W"/>
        <s v="-5556 W"/>
        <s v="65.975 %"/>
        <s v="25525 W"/>
        <s v="-20967 W"/>
        <s v="32399 W"/>
        <s v="535 W"/>
        <s v="31904 W"/>
        <s v="30217 W"/>
        <s v="6052 W"/>
        <s v="-41823 W"/>
        <s v="64.755 %"/>
        <s v="29672 W"/>
        <s v="-23200 W"/>
        <s v="38626 W"/>
        <s v="-3217 W"/>
        <s v="4977 W"/>
        <s v="33192 W"/>
        <s v="63.535 %"/>
        <s v="-3764 W"/>
        <s v="25133 W"/>
        <s v="-19126 W"/>
        <s v="26662 W"/>
        <s v="-4111 W"/>
        <s v="27056 W"/>
        <s v="-3026 W"/>
        <s v="-6990 W"/>
        <s v="29820 W"/>
        <s v="3575 W"/>
        <s v="62.44 %"/>
        <s v="24214 W"/>
        <s v="61.22 %"/>
        <s v="-13725 W"/>
        <s v="18611 W"/>
        <s v="-12121 W"/>
        <s v="20263 W"/>
        <s v="-5355 W"/>
        <s v="23496 W"/>
        <s v="60.12 %"/>
        <s v="38857 W"/>
        <s v="-3353 W"/>
        <s v="35350 W"/>
        <s v="347.5 V"/>
        <s v="58.66 %"/>
        <s v="35050 W"/>
        <s v="-39648 W"/>
        <s v="-11875 W"/>
        <s v="-42482 W"/>
        <s v="27847 W"/>
        <s v="35299 W"/>
        <s v="-1226 W"/>
        <s v="34466 W"/>
        <s v="36955 W"/>
        <s v="57.56 %"/>
        <s v="8154 W"/>
        <s v="35394 W"/>
        <s v="-876 W"/>
        <s v="28884 W"/>
        <s v="-2443 W"/>
        <s v="-11182 W"/>
        <s v="-41415 W"/>
        <s v="-9473 W"/>
        <s v="-27272 W"/>
        <s v="29163 W"/>
        <s v="-28262 W"/>
        <s v="-4984 W"/>
        <s v="-44460 W"/>
        <s v="9230 W"/>
        <s v="-17978 W"/>
        <s v="14002 W"/>
        <s v="-22134 W"/>
        <s v="15975 W"/>
        <s v="-11456 W"/>
        <s v="-40633 W"/>
        <s v="-10575 W"/>
        <s v="-41227 W"/>
        <s v="179 W"/>
        <s v="-42303 W"/>
        <s v="-8483 W"/>
        <s v="-33253 W"/>
        <s v="2864 W"/>
        <s v="-42061 W"/>
        <s v="-7783 W"/>
        <s v="-10620 W"/>
        <s v="-42529 W"/>
        <s v="-8349 W"/>
        <s v="-35574 W"/>
        <s v="-8893 W"/>
        <s v="59.88 %"/>
        <s v="-40906 W"/>
        <s v="-8495 W"/>
        <s v="-34303 W"/>
        <s v="61.1 %"/>
        <s v="-36381 W"/>
        <s v="-6335 W"/>
        <s v="39872 W"/>
        <s v="-20396 W"/>
        <s v="8640 W"/>
        <s v="-20634 W"/>
        <s v="2163 W"/>
        <s v="-32262 W"/>
        <s v="62.195 %"/>
        <s v="-9996 W"/>
        <s v="-42347 W"/>
        <s v="368 V"/>
        <s v="14640 W"/>
        <s v="-33169 W"/>
        <s v="7260 W"/>
        <s v="-32112 W"/>
        <s v="-30378 W"/>
        <s v="32896 W"/>
        <s v="-3064 W"/>
        <s v="8856 W"/>
        <s v="-31668 W"/>
        <s v="-9464 W"/>
        <s v="-39839 W"/>
        <s v="9112 W"/>
        <s v="63.415 %"/>
        <s v="25848 W"/>
        <s v="-4512 W"/>
        <s v="25060 W"/>
        <s v="-42893 W"/>
        <s v="-37128 W"/>
        <s v="6925 W"/>
        <s v="11144 W"/>
        <s v="-42157 W"/>
        <s v="49560 W"/>
        <s v="-14698 W"/>
        <s v="18028 W"/>
        <s v="-9205 W"/>
        <s v="23661 W"/>
        <s v="12138 W"/>
        <s v="-24300 W"/>
        <s v="7200 W"/>
        <s v="62.315 %"/>
        <s v="40527 W"/>
        <s v="-40152 W"/>
        <s v="23237 W"/>
        <s v="-12600 W"/>
        <s v="27807 W"/>
        <s v="-21330 W"/>
        <s v="6094 W"/>
        <s v="-28119 W"/>
        <s v="-27816 W"/>
        <s v="540 W"/>
        <s v="31183 W"/>
        <s v="-24985 W"/>
        <s v="17400 W"/>
        <s v="355.5 V"/>
        <s v="28674 W"/>
        <s v="-2673 W"/>
        <s v="29069 W"/>
        <s v="-12351 W"/>
        <s v="27425 W"/>
        <s v="21122 W"/>
        <s v="-22491 W"/>
        <s v="10858 W"/>
        <s v="-21510 W"/>
        <s v="15886 W"/>
        <s v="-6186 W"/>
        <s v="32308 W"/>
        <s v="-10725 W"/>
        <s v="16152 W"/>
        <s v="-10457 W"/>
        <s v="-10949 W"/>
        <s v="43761 W"/>
        <s v="-12848 W"/>
        <s v="16422 W"/>
        <s v="-10858 W"/>
        <s v="36565 W"/>
        <s v="59.755 %"/>
        <s v="-4260 W"/>
        <s v="26224 W"/>
        <s v="-6399 W"/>
        <s v="36006 W"/>
        <s v="32900 W"/>
        <s v="-16530 W"/>
        <s v="30487 W"/>
        <s v="30667 W"/>
        <s v="-3525 W"/>
        <s v="27258 W"/>
        <s v="-5841 W"/>
        <s v="20738 W"/>
        <s v="-9612 W"/>
        <s v="5154 W"/>
        <s v="-34920 W"/>
        <s v="42185 W"/>
        <s v="58.535 %"/>
        <s v="37746 W"/>
        <s v="-12407 W"/>
        <s v="22592 W"/>
        <s v="-12282 W"/>
        <s v="31150 W"/>
        <s v="-13455 W"/>
        <s v="48300 W"/>
        <s v="35947 W"/>
        <s v="-10310 W"/>
        <s v="-13209 W"/>
        <s v="27378 W"/>
        <s v="-12620 W"/>
        <s v="18079 W"/>
        <s v="57.44 %"/>
        <s v="-12087 W"/>
        <s v="33759 W"/>
        <s v="27222 W"/>
        <s v="-9165 W"/>
        <s v="10560 W"/>
        <s v="-42186 W"/>
        <s v="14514 W"/>
        <s v="-29893 W"/>
        <s v="-7298 W"/>
        <s v="32214 W"/>
        <s v="-6372 W"/>
        <s v="23834 W"/>
        <s v="-6327 W"/>
        <s v="21326 W"/>
        <s v="56.34 %"/>
        <s v="38675 W"/>
        <s v="30363 W"/>
        <s v="-9248 W"/>
        <s v="356 V"/>
        <s v="-8366 W"/>
        <s v="-42008 W"/>
        <s v="26085 W"/>
        <s v="-10208 W"/>
        <s v="16591 W"/>
        <s v="-9531 W"/>
        <s v="27495 W"/>
        <s v="-5089 W"/>
        <s v="-16175 W"/>
        <s v="36575 W"/>
        <s v="-23140 W"/>
        <s v="24322 W"/>
        <s v="-4425 W"/>
        <s v="36101 W"/>
        <s v="-11842 W"/>
        <s v="17297 W"/>
        <s v="-4230 W"/>
        <s v="-33417 W"/>
        <s v="11119 W"/>
        <s v="-41238 W"/>
        <s v="-8436 W"/>
        <s v="39656 W"/>
        <s v="-3866 W"/>
        <s v="55.245 %"/>
        <s v="-2297 W"/>
        <s v="41300 W"/>
        <s v="46671 W"/>
        <s v="-9341 W"/>
        <s v="37418 W"/>
        <s v="54.025 %"/>
        <s v="39157 W"/>
        <s v="-12783 W"/>
        <s v="-16838 W"/>
        <s v="25863 W"/>
        <s v="-10485 W"/>
        <s v="24150 W"/>
        <s v="-13275 W"/>
        <s v="-41418 W"/>
        <s v="4779 W"/>
        <s v="16169 W"/>
        <s v="-41124 W"/>
        <s v="21917 W"/>
        <s v="52.805 %"/>
        <s v="38406 W"/>
        <s v="-11401 W"/>
        <s v="9490 W"/>
        <s v="-37294 W"/>
        <s v="1770 W"/>
        <s v="39903 W"/>
        <s v="-15246 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2">
  <r>
    <x v="0"/>
    <x v="0"/>
    <x v="0"/>
    <x v="0"/>
    <x v="0"/>
    <x v="0"/>
    <x v="0"/>
  </r>
  <r>
    <x v="0"/>
    <x v="0"/>
    <x v="0"/>
    <x v="1"/>
    <x v="0"/>
    <x v="0"/>
    <x v="1"/>
  </r>
  <r>
    <x v="0"/>
    <x v="0"/>
    <x v="0"/>
    <x v="2"/>
    <x v="0"/>
    <x v="0"/>
    <x v="2"/>
  </r>
  <r>
    <x v="0"/>
    <x v="0"/>
    <x v="1"/>
    <x v="0"/>
    <x v="0"/>
    <x v="0"/>
    <x v="0"/>
  </r>
  <r>
    <x v="0"/>
    <x v="0"/>
    <x v="2"/>
    <x v="1"/>
    <x v="0"/>
    <x v="0"/>
    <x v="1"/>
  </r>
  <r>
    <x v="0"/>
    <x v="0"/>
    <x v="2"/>
    <x v="2"/>
    <x v="0"/>
    <x v="0"/>
    <x v="3"/>
  </r>
  <r>
    <x v="0"/>
    <x v="0"/>
    <x v="3"/>
    <x v="0"/>
    <x v="0"/>
    <x v="0"/>
    <x v="0"/>
  </r>
  <r>
    <x v="0"/>
    <x v="0"/>
    <x v="3"/>
    <x v="1"/>
    <x v="0"/>
    <x v="0"/>
    <x v="1"/>
  </r>
  <r>
    <x v="0"/>
    <x v="0"/>
    <x v="3"/>
    <x v="2"/>
    <x v="0"/>
    <x v="0"/>
    <x v="4"/>
  </r>
  <r>
    <x v="0"/>
    <x v="0"/>
    <x v="4"/>
    <x v="2"/>
    <x v="0"/>
    <x v="0"/>
    <x v="5"/>
  </r>
  <r>
    <x v="0"/>
    <x v="0"/>
    <x v="5"/>
    <x v="2"/>
    <x v="0"/>
    <x v="0"/>
    <x v="6"/>
  </r>
  <r>
    <x v="0"/>
    <x v="0"/>
    <x v="6"/>
    <x v="2"/>
    <x v="0"/>
    <x v="0"/>
    <x v="7"/>
  </r>
  <r>
    <x v="0"/>
    <x v="0"/>
    <x v="7"/>
    <x v="2"/>
    <x v="0"/>
    <x v="0"/>
    <x v="8"/>
  </r>
  <r>
    <x v="0"/>
    <x v="0"/>
    <x v="8"/>
    <x v="2"/>
    <x v="0"/>
    <x v="0"/>
    <x v="9"/>
  </r>
  <r>
    <x v="0"/>
    <x v="0"/>
    <x v="9"/>
    <x v="2"/>
    <x v="0"/>
    <x v="0"/>
    <x v="10"/>
  </r>
  <r>
    <x v="0"/>
    <x v="0"/>
    <x v="10"/>
    <x v="2"/>
    <x v="0"/>
    <x v="0"/>
    <x v="11"/>
  </r>
  <r>
    <x v="0"/>
    <x v="0"/>
    <x v="11"/>
    <x v="2"/>
    <x v="0"/>
    <x v="0"/>
    <x v="12"/>
  </r>
  <r>
    <x v="0"/>
    <x v="0"/>
    <x v="12"/>
    <x v="2"/>
    <x v="0"/>
    <x v="0"/>
    <x v="13"/>
  </r>
  <r>
    <x v="0"/>
    <x v="0"/>
    <x v="13"/>
    <x v="2"/>
    <x v="0"/>
    <x v="0"/>
    <x v="14"/>
  </r>
  <r>
    <x v="0"/>
    <x v="0"/>
    <x v="14"/>
    <x v="2"/>
    <x v="0"/>
    <x v="0"/>
    <x v="15"/>
  </r>
  <r>
    <x v="0"/>
    <x v="0"/>
    <x v="15"/>
    <x v="2"/>
    <x v="0"/>
    <x v="0"/>
    <x v="16"/>
  </r>
  <r>
    <x v="0"/>
    <x v="0"/>
    <x v="16"/>
    <x v="2"/>
    <x v="0"/>
    <x v="0"/>
    <x v="17"/>
  </r>
  <r>
    <x v="0"/>
    <x v="0"/>
    <x v="17"/>
    <x v="2"/>
    <x v="0"/>
    <x v="0"/>
    <x v="18"/>
  </r>
  <r>
    <x v="0"/>
    <x v="0"/>
    <x v="18"/>
    <x v="2"/>
    <x v="0"/>
    <x v="0"/>
    <x v="19"/>
  </r>
  <r>
    <x v="0"/>
    <x v="0"/>
    <x v="19"/>
    <x v="2"/>
    <x v="0"/>
    <x v="0"/>
    <x v="20"/>
  </r>
  <r>
    <x v="0"/>
    <x v="0"/>
    <x v="20"/>
    <x v="2"/>
    <x v="0"/>
    <x v="0"/>
    <x v="21"/>
  </r>
  <r>
    <x v="0"/>
    <x v="0"/>
    <x v="21"/>
    <x v="2"/>
    <x v="0"/>
    <x v="0"/>
    <x v="22"/>
  </r>
  <r>
    <x v="0"/>
    <x v="0"/>
    <x v="22"/>
    <x v="2"/>
    <x v="0"/>
    <x v="0"/>
    <x v="23"/>
  </r>
  <r>
    <x v="0"/>
    <x v="0"/>
    <x v="23"/>
    <x v="2"/>
    <x v="0"/>
    <x v="0"/>
    <x v="24"/>
  </r>
  <r>
    <x v="0"/>
    <x v="0"/>
    <x v="24"/>
    <x v="2"/>
    <x v="0"/>
    <x v="0"/>
    <x v="25"/>
  </r>
  <r>
    <x v="0"/>
    <x v="0"/>
    <x v="25"/>
    <x v="2"/>
    <x v="0"/>
    <x v="0"/>
    <x v="26"/>
  </r>
  <r>
    <x v="0"/>
    <x v="0"/>
    <x v="26"/>
    <x v="2"/>
    <x v="0"/>
    <x v="0"/>
    <x v="27"/>
  </r>
  <r>
    <x v="0"/>
    <x v="0"/>
    <x v="27"/>
    <x v="2"/>
    <x v="0"/>
    <x v="0"/>
    <x v="28"/>
  </r>
  <r>
    <x v="0"/>
    <x v="0"/>
    <x v="28"/>
    <x v="0"/>
    <x v="0"/>
    <x v="0"/>
    <x v="29"/>
  </r>
  <r>
    <x v="0"/>
    <x v="0"/>
    <x v="29"/>
    <x v="2"/>
    <x v="0"/>
    <x v="0"/>
    <x v="30"/>
  </r>
  <r>
    <x v="0"/>
    <x v="0"/>
    <x v="30"/>
    <x v="2"/>
    <x v="0"/>
    <x v="0"/>
    <x v="31"/>
  </r>
  <r>
    <x v="0"/>
    <x v="0"/>
    <x v="31"/>
    <x v="2"/>
    <x v="0"/>
    <x v="0"/>
    <x v="32"/>
  </r>
  <r>
    <x v="0"/>
    <x v="0"/>
    <x v="32"/>
    <x v="2"/>
    <x v="0"/>
    <x v="0"/>
    <x v="33"/>
  </r>
  <r>
    <x v="0"/>
    <x v="0"/>
    <x v="33"/>
    <x v="2"/>
    <x v="0"/>
    <x v="0"/>
    <x v="34"/>
  </r>
  <r>
    <x v="0"/>
    <x v="0"/>
    <x v="34"/>
    <x v="2"/>
    <x v="0"/>
    <x v="0"/>
    <x v="35"/>
  </r>
  <r>
    <x v="0"/>
    <x v="0"/>
    <x v="35"/>
    <x v="2"/>
    <x v="0"/>
    <x v="0"/>
    <x v="36"/>
  </r>
  <r>
    <x v="0"/>
    <x v="0"/>
    <x v="36"/>
    <x v="2"/>
    <x v="0"/>
    <x v="0"/>
    <x v="37"/>
  </r>
  <r>
    <x v="0"/>
    <x v="0"/>
    <x v="37"/>
    <x v="2"/>
    <x v="0"/>
    <x v="0"/>
    <x v="38"/>
  </r>
  <r>
    <x v="0"/>
    <x v="0"/>
    <x v="38"/>
    <x v="2"/>
    <x v="0"/>
    <x v="0"/>
    <x v="39"/>
  </r>
  <r>
    <x v="0"/>
    <x v="0"/>
    <x v="39"/>
    <x v="2"/>
    <x v="0"/>
    <x v="0"/>
    <x v="40"/>
  </r>
  <r>
    <x v="0"/>
    <x v="0"/>
    <x v="40"/>
    <x v="2"/>
    <x v="0"/>
    <x v="0"/>
    <x v="41"/>
  </r>
  <r>
    <x v="0"/>
    <x v="0"/>
    <x v="41"/>
    <x v="2"/>
    <x v="0"/>
    <x v="0"/>
    <x v="42"/>
  </r>
  <r>
    <x v="0"/>
    <x v="0"/>
    <x v="42"/>
    <x v="2"/>
    <x v="0"/>
    <x v="0"/>
    <x v="43"/>
  </r>
  <r>
    <x v="0"/>
    <x v="0"/>
    <x v="43"/>
    <x v="2"/>
    <x v="0"/>
    <x v="0"/>
    <x v="44"/>
  </r>
  <r>
    <x v="0"/>
    <x v="0"/>
    <x v="44"/>
    <x v="2"/>
    <x v="0"/>
    <x v="0"/>
    <x v="45"/>
  </r>
  <r>
    <x v="0"/>
    <x v="0"/>
    <x v="45"/>
    <x v="2"/>
    <x v="0"/>
    <x v="0"/>
    <x v="46"/>
  </r>
  <r>
    <x v="0"/>
    <x v="0"/>
    <x v="46"/>
    <x v="2"/>
    <x v="0"/>
    <x v="0"/>
    <x v="47"/>
  </r>
  <r>
    <x v="0"/>
    <x v="0"/>
    <x v="47"/>
    <x v="2"/>
    <x v="0"/>
    <x v="0"/>
    <x v="48"/>
  </r>
  <r>
    <x v="0"/>
    <x v="0"/>
    <x v="48"/>
    <x v="2"/>
    <x v="0"/>
    <x v="0"/>
    <x v="49"/>
  </r>
  <r>
    <x v="0"/>
    <x v="0"/>
    <x v="49"/>
    <x v="2"/>
    <x v="0"/>
    <x v="0"/>
    <x v="50"/>
  </r>
  <r>
    <x v="0"/>
    <x v="0"/>
    <x v="50"/>
    <x v="0"/>
    <x v="0"/>
    <x v="0"/>
    <x v="51"/>
  </r>
  <r>
    <x v="0"/>
    <x v="0"/>
    <x v="51"/>
    <x v="1"/>
    <x v="0"/>
    <x v="0"/>
    <x v="52"/>
  </r>
  <r>
    <x v="0"/>
    <x v="0"/>
    <x v="51"/>
    <x v="2"/>
    <x v="0"/>
    <x v="0"/>
    <x v="53"/>
  </r>
  <r>
    <x v="0"/>
    <x v="0"/>
    <x v="52"/>
    <x v="0"/>
    <x v="0"/>
    <x v="0"/>
    <x v="51"/>
  </r>
  <r>
    <x v="0"/>
    <x v="0"/>
    <x v="52"/>
    <x v="1"/>
    <x v="0"/>
    <x v="0"/>
    <x v="54"/>
  </r>
  <r>
    <x v="0"/>
    <x v="0"/>
    <x v="52"/>
    <x v="2"/>
    <x v="0"/>
    <x v="0"/>
    <x v="55"/>
  </r>
  <r>
    <x v="0"/>
    <x v="0"/>
    <x v="53"/>
    <x v="2"/>
    <x v="0"/>
    <x v="0"/>
    <x v="56"/>
  </r>
  <r>
    <x v="0"/>
    <x v="0"/>
    <x v="54"/>
    <x v="2"/>
    <x v="0"/>
    <x v="0"/>
    <x v="57"/>
  </r>
  <r>
    <x v="0"/>
    <x v="0"/>
    <x v="55"/>
    <x v="2"/>
    <x v="0"/>
    <x v="0"/>
    <x v="58"/>
  </r>
  <r>
    <x v="0"/>
    <x v="0"/>
    <x v="56"/>
    <x v="2"/>
    <x v="0"/>
    <x v="0"/>
    <x v="59"/>
  </r>
  <r>
    <x v="0"/>
    <x v="0"/>
    <x v="57"/>
    <x v="2"/>
    <x v="0"/>
    <x v="0"/>
    <x v="60"/>
  </r>
  <r>
    <x v="0"/>
    <x v="0"/>
    <x v="58"/>
    <x v="2"/>
    <x v="0"/>
    <x v="0"/>
    <x v="61"/>
  </r>
  <r>
    <x v="0"/>
    <x v="0"/>
    <x v="59"/>
    <x v="2"/>
    <x v="0"/>
    <x v="0"/>
    <x v="62"/>
  </r>
  <r>
    <x v="0"/>
    <x v="0"/>
    <x v="60"/>
    <x v="2"/>
    <x v="0"/>
    <x v="0"/>
    <x v="63"/>
  </r>
  <r>
    <x v="0"/>
    <x v="0"/>
    <x v="61"/>
    <x v="2"/>
    <x v="0"/>
    <x v="0"/>
    <x v="64"/>
  </r>
  <r>
    <x v="0"/>
    <x v="0"/>
    <x v="62"/>
    <x v="2"/>
    <x v="0"/>
    <x v="0"/>
    <x v="65"/>
  </r>
  <r>
    <x v="0"/>
    <x v="0"/>
    <x v="63"/>
    <x v="2"/>
    <x v="0"/>
    <x v="0"/>
    <x v="66"/>
  </r>
  <r>
    <x v="0"/>
    <x v="0"/>
    <x v="64"/>
    <x v="2"/>
    <x v="0"/>
    <x v="0"/>
    <x v="67"/>
  </r>
  <r>
    <x v="0"/>
    <x v="0"/>
    <x v="65"/>
    <x v="0"/>
    <x v="0"/>
    <x v="0"/>
    <x v="68"/>
  </r>
  <r>
    <x v="0"/>
    <x v="0"/>
    <x v="66"/>
    <x v="2"/>
    <x v="0"/>
    <x v="0"/>
    <x v="69"/>
  </r>
  <r>
    <x v="0"/>
    <x v="0"/>
    <x v="67"/>
    <x v="2"/>
    <x v="0"/>
    <x v="0"/>
    <x v="70"/>
  </r>
  <r>
    <x v="0"/>
    <x v="0"/>
    <x v="68"/>
    <x v="2"/>
    <x v="0"/>
    <x v="0"/>
    <x v="71"/>
  </r>
  <r>
    <x v="0"/>
    <x v="0"/>
    <x v="69"/>
    <x v="2"/>
    <x v="0"/>
    <x v="0"/>
    <x v="72"/>
  </r>
  <r>
    <x v="0"/>
    <x v="0"/>
    <x v="70"/>
    <x v="2"/>
    <x v="0"/>
    <x v="0"/>
    <x v="73"/>
  </r>
  <r>
    <x v="0"/>
    <x v="0"/>
    <x v="71"/>
    <x v="2"/>
    <x v="0"/>
    <x v="0"/>
    <x v="74"/>
  </r>
  <r>
    <x v="0"/>
    <x v="0"/>
    <x v="72"/>
    <x v="2"/>
    <x v="0"/>
    <x v="0"/>
    <x v="75"/>
  </r>
  <r>
    <x v="0"/>
    <x v="0"/>
    <x v="73"/>
    <x v="2"/>
    <x v="0"/>
    <x v="0"/>
    <x v="76"/>
  </r>
  <r>
    <x v="0"/>
    <x v="0"/>
    <x v="74"/>
    <x v="2"/>
    <x v="0"/>
    <x v="0"/>
    <x v="77"/>
  </r>
  <r>
    <x v="0"/>
    <x v="0"/>
    <x v="75"/>
    <x v="2"/>
    <x v="0"/>
    <x v="0"/>
    <x v="78"/>
  </r>
  <r>
    <x v="0"/>
    <x v="0"/>
    <x v="76"/>
    <x v="2"/>
    <x v="0"/>
    <x v="0"/>
    <x v="79"/>
  </r>
  <r>
    <x v="0"/>
    <x v="0"/>
    <x v="77"/>
    <x v="2"/>
    <x v="0"/>
    <x v="0"/>
    <x v="80"/>
  </r>
  <r>
    <x v="0"/>
    <x v="0"/>
    <x v="78"/>
    <x v="2"/>
    <x v="0"/>
    <x v="0"/>
    <x v="81"/>
  </r>
  <r>
    <x v="0"/>
    <x v="0"/>
    <x v="79"/>
    <x v="2"/>
    <x v="0"/>
    <x v="0"/>
    <x v="82"/>
  </r>
  <r>
    <x v="0"/>
    <x v="0"/>
    <x v="80"/>
    <x v="2"/>
    <x v="0"/>
    <x v="0"/>
    <x v="83"/>
  </r>
  <r>
    <x v="0"/>
    <x v="0"/>
    <x v="81"/>
    <x v="2"/>
    <x v="0"/>
    <x v="0"/>
    <x v="84"/>
  </r>
  <r>
    <x v="0"/>
    <x v="0"/>
    <x v="82"/>
    <x v="2"/>
    <x v="0"/>
    <x v="0"/>
    <x v="85"/>
  </r>
  <r>
    <x v="0"/>
    <x v="0"/>
    <x v="83"/>
    <x v="2"/>
    <x v="0"/>
    <x v="0"/>
    <x v="86"/>
  </r>
  <r>
    <x v="0"/>
    <x v="0"/>
    <x v="84"/>
    <x v="2"/>
    <x v="0"/>
    <x v="0"/>
    <x v="87"/>
  </r>
  <r>
    <x v="0"/>
    <x v="0"/>
    <x v="85"/>
    <x v="2"/>
    <x v="0"/>
    <x v="0"/>
    <x v="88"/>
  </r>
  <r>
    <x v="0"/>
    <x v="0"/>
    <x v="86"/>
    <x v="2"/>
    <x v="0"/>
    <x v="0"/>
    <x v="89"/>
  </r>
  <r>
    <x v="0"/>
    <x v="0"/>
    <x v="87"/>
    <x v="2"/>
    <x v="0"/>
    <x v="0"/>
    <x v="90"/>
  </r>
  <r>
    <x v="0"/>
    <x v="0"/>
    <x v="88"/>
    <x v="2"/>
    <x v="0"/>
    <x v="0"/>
    <x v="91"/>
  </r>
  <r>
    <x v="0"/>
    <x v="0"/>
    <x v="89"/>
    <x v="2"/>
    <x v="0"/>
    <x v="0"/>
    <x v="92"/>
  </r>
  <r>
    <x v="0"/>
    <x v="0"/>
    <x v="90"/>
    <x v="2"/>
    <x v="0"/>
    <x v="0"/>
    <x v="93"/>
  </r>
  <r>
    <x v="0"/>
    <x v="0"/>
    <x v="91"/>
    <x v="2"/>
    <x v="0"/>
    <x v="0"/>
    <x v="94"/>
  </r>
  <r>
    <x v="0"/>
    <x v="0"/>
    <x v="92"/>
    <x v="2"/>
    <x v="0"/>
    <x v="0"/>
    <x v="95"/>
  </r>
  <r>
    <x v="0"/>
    <x v="0"/>
    <x v="93"/>
    <x v="2"/>
    <x v="0"/>
    <x v="0"/>
    <x v="96"/>
  </r>
  <r>
    <x v="0"/>
    <x v="0"/>
    <x v="94"/>
    <x v="0"/>
    <x v="0"/>
    <x v="0"/>
    <x v="97"/>
  </r>
  <r>
    <x v="0"/>
    <x v="0"/>
    <x v="95"/>
    <x v="2"/>
    <x v="0"/>
    <x v="0"/>
    <x v="98"/>
  </r>
  <r>
    <x v="0"/>
    <x v="0"/>
    <x v="96"/>
    <x v="2"/>
    <x v="0"/>
    <x v="0"/>
    <x v="99"/>
  </r>
  <r>
    <x v="0"/>
    <x v="0"/>
    <x v="97"/>
    <x v="2"/>
    <x v="0"/>
    <x v="0"/>
    <x v="100"/>
  </r>
  <r>
    <x v="0"/>
    <x v="0"/>
    <x v="98"/>
    <x v="2"/>
    <x v="0"/>
    <x v="0"/>
    <x v="101"/>
  </r>
  <r>
    <x v="0"/>
    <x v="0"/>
    <x v="99"/>
    <x v="2"/>
    <x v="0"/>
    <x v="0"/>
    <x v="102"/>
  </r>
  <r>
    <x v="0"/>
    <x v="0"/>
    <x v="100"/>
    <x v="2"/>
    <x v="0"/>
    <x v="0"/>
    <x v="103"/>
  </r>
  <r>
    <x v="0"/>
    <x v="0"/>
    <x v="101"/>
    <x v="2"/>
    <x v="0"/>
    <x v="0"/>
    <x v="104"/>
  </r>
  <r>
    <x v="0"/>
    <x v="0"/>
    <x v="102"/>
    <x v="2"/>
    <x v="0"/>
    <x v="0"/>
    <x v="105"/>
  </r>
  <r>
    <x v="0"/>
    <x v="0"/>
    <x v="103"/>
    <x v="2"/>
    <x v="0"/>
    <x v="0"/>
    <x v="106"/>
  </r>
  <r>
    <x v="0"/>
    <x v="0"/>
    <x v="104"/>
    <x v="2"/>
    <x v="0"/>
    <x v="0"/>
    <x v="107"/>
  </r>
  <r>
    <x v="0"/>
    <x v="0"/>
    <x v="105"/>
    <x v="2"/>
    <x v="0"/>
    <x v="0"/>
    <x v="108"/>
  </r>
  <r>
    <x v="0"/>
    <x v="0"/>
    <x v="106"/>
    <x v="0"/>
    <x v="0"/>
    <x v="0"/>
    <x v="109"/>
  </r>
  <r>
    <x v="0"/>
    <x v="0"/>
    <x v="107"/>
    <x v="2"/>
    <x v="0"/>
    <x v="0"/>
    <x v="110"/>
  </r>
  <r>
    <x v="0"/>
    <x v="0"/>
    <x v="108"/>
    <x v="2"/>
    <x v="0"/>
    <x v="0"/>
    <x v="111"/>
  </r>
  <r>
    <x v="0"/>
    <x v="0"/>
    <x v="109"/>
    <x v="2"/>
    <x v="0"/>
    <x v="0"/>
    <x v="112"/>
  </r>
  <r>
    <x v="0"/>
    <x v="0"/>
    <x v="110"/>
    <x v="2"/>
    <x v="0"/>
    <x v="0"/>
    <x v="113"/>
  </r>
  <r>
    <x v="0"/>
    <x v="0"/>
    <x v="111"/>
    <x v="2"/>
    <x v="0"/>
    <x v="0"/>
    <x v="114"/>
  </r>
  <r>
    <x v="0"/>
    <x v="0"/>
    <x v="112"/>
    <x v="2"/>
    <x v="0"/>
    <x v="0"/>
    <x v="115"/>
  </r>
  <r>
    <x v="0"/>
    <x v="0"/>
    <x v="113"/>
    <x v="2"/>
    <x v="0"/>
    <x v="0"/>
    <x v="116"/>
  </r>
  <r>
    <x v="0"/>
    <x v="0"/>
    <x v="114"/>
    <x v="2"/>
    <x v="0"/>
    <x v="0"/>
    <x v="117"/>
  </r>
  <r>
    <x v="0"/>
    <x v="0"/>
    <x v="115"/>
    <x v="2"/>
    <x v="0"/>
    <x v="0"/>
    <x v="118"/>
  </r>
  <r>
    <x v="0"/>
    <x v="0"/>
    <x v="116"/>
    <x v="2"/>
    <x v="0"/>
    <x v="0"/>
    <x v="119"/>
  </r>
  <r>
    <x v="0"/>
    <x v="0"/>
    <x v="117"/>
    <x v="2"/>
    <x v="0"/>
    <x v="0"/>
    <x v="120"/>
  </r>
  <r>
    <x v="0"/>
    <x v="0"/>
    <x v="118"/>
    <x v="2"/>
    <x v="0"/>
    <x v="0"/>
    <x v="121"/>
  </r>
  <r>
    <x v="0"/>
    <x v="0"/>
    <x v="119"/>
    <x v="2"/>
    <x v="0"/>
    <x v="0"/>
    <x v="122"/>
  </r>
  <r>
    <x v="0"/>
    <x v="0"/>
    <x v="120"/>
    <x v="2"/>
    <x v="0"/>
    <x v="0"/>
    <x v="123"/>
  </r>
  <r>
    <x v="0"/>
    <x v="0"/>
    <x v="121"/>
    <x v="2"/>
    <x v="0"/>
    <x v="0"/>
    <x v="124"/>
  </r>
  <r>
    <x v="0"/>
    <x v="0"/>
    <x v="122"/>
    <x v="2"/>
    <x v="0"/>
    <x v="0"/>
    <x v="125"/>
  </r>
  <r>
    <x v="0"/>
    <x v="0"/>
    <x v="123"/>
    <x v="2"/>
    <x v="0"/>
    <x v="0"/>
    <x v="126"/>
  </r>
  <r>
    <x v="0"/>
    <x v="0"/>
    <x v="124"/>
    <x v="2"/>
    <x v="0"/>
    <x v="0"/>
    <x v="127"/>
  </r>
  <r>
    <x v="0"/>
    <x v="0"/>
    <x v="125"/>
    <x v="2"/>
    <x v="0"/>
    <x v="0"/>
    <x v="128"/>
  </r>
  <r>
    <x v="0"/>
    <x v="0"/>
    <x v="126"/>
    <x v="2"/>
    <x v="0"/>
    <x v="0"/>
    <x v="129"/>
  </r>
  <r>
    <x v="0"/>
    <x v="0"/>
    <x v="127"/>
    <x v="2"/>
    <x v="0"/>
    <x v="0"/>
    <x v="130"/>
  </r>
  <r>
    <x v="0"/>
    <x v="0"/>
    <x v="128"/>
    <x v="2"/>
    <x v="0"/>
    <x v="0"/>
    <x v="131"/>
  </r>
  <r>
    <x v="0"/>
    <x v="0"/>
    <x v="129"/>
    <x v="2"/>
    <x v="0"/>
    <x v="0"/>
    <x v="132"/>
  </r>
  <r>
    <x v="0"/>
    <x v="0"/>
    <x v="130"/>
    <x v="2"/>
    <x v="0"/>
    <x v="0"/>
    <x v="133"/>
  </r>
  <r>
    <x v="0"/>
    <x v="0"/>
    <x v="131"/>
    <x v="2"/>
    <x v="0"/>
    <x v="0"/>
    <x v="134"/>
  </r>
  <r>
    <x v="0"/>
    <x v="0"/>
    <x v="132"/>
    <x v="2"/>
    <x v="0"/>
    <x v="0"/>
    <x v="135"/>
  </r>
  <r>
    <x v="0"/>
    <x v="0"/>
    <x v="133"/>
    <x v="2"/>
    <x v="0"/>
    <x v="0"/>
    <x v="136"/>
  </r>
  <r>
    <x v="0"/>
    <x v="0"/>
    <x v="134"/>
    <x v="2"/>
    <x v="0"/>
    <x v="0"/>
    <x v="137"/>
  </r>
  <r>
    <x v="0"/>
    <x v="0"/>
    <x v="135"/>
    <x v="2"/>
    <x v="0"/>
    <x v="0"/>
    <x v="138"/>
  </r>
  <r>
    <x v="0"/>
    <x v="0"/>
    <x v="136"/>
    <x v="2"/>
    <x v="0"/>
    <x v="0"/>
    <x v="139"/>
  </r>
  <r>
    <x v="0"/>
    <x v="0"/>
    <x v="137"/>
    <x v="2"/>
    <x v="0"/>
    <x v="0"/>
    <x v="140"/>
  </r>
  <r>
    <x v="0"/>
    <x v="0"/>
    <x v="138"/>
    <x v="2"/>
    <x v="0"/>
    <x v="0"/>
    <x v="141"/>
  </r>
  <r>
    <x v="0"/>
    <x v="0"/>
    <x v="139"/>
    <x v="2"/>
    <x v="0"/>
    <x v="0"/>
    <x v="142"/>
  </r>
  <r>
    <x v="0"/>
    <x v="0"/>
    <x v="140"/>
    <x v="2"/>
    <x v="0"/>
    <x v="0"/>
    <x v="143"/>
  </r>
  <r>
    <x v="0"/>
    <x v="0"/>
    <x v="141"/>
    <x v="2"/>
    <x v="0"/>
    <x v="0"/>
    <x v="144"/>
  </r>
  <r>
    <x v="0"/>
    <x v="0"/>
    <x v="142"/>
    <x v="2"/>
    <x v="0"/>
    <x v="0"/>
    <x v="145"/>
  </r>
  <r>
    <x v="0"/>
    <x v="0"/>
    <x v="143"/>
    <x v="2"/>
    <x v="0"/>
    <x v="0"/>
    <x v="146"/>
  </r>
  <r>
    <x v="0"/>
    <x v="0"/>
    <x v="144"/>
    <x v="0"/>
    <x v="0"/>
    <x v="0"/>
    <x v="147"/>
  </r>
  <r>
    <x v="0"/>
    <x v="0"/>
    <x v="145"/>
    <x v="2"/>
    <x v="0"/>
    <x v="0"/>
    <x v="148"/>
  </r>
  <r>
    <x v="0"/>
    <x v="0"/>
    <x v="146"/>
    <x v="2"/>
    <x v="0"/>
    <x v="0"/>
    <x v="149"/>
  </r>
  <r>
    <x v="0"/>
    <x v="0"/>
    <x v="147"/>
    <x v="2"/>
    <x v="0"/>
    <x v="0"/>
    <x v="150"/>
  </r>
  <r>
    <x v="0"/>
    <x v="0"/>
    <x v="148"/>
    <x v="2"/>
    <x v="0"/>
    <x v="0"/>
    <x v="151"/>
  </r>
  <r>
    <x v="0"/>
    <x v="0"/>
    <x v="149"/>
    <x v="2"/>
    <x v="0"/>
    <x v="0"/>
    <x v="152"/>
  </r>
  <r>
    <x v="0"/>
    <x v="0"/>
    <x v="150"/>
    <x v="2"/>
    <x v="0"/>
    <x v="0"/>
    <x v="153"/>
  </r>
  <r>
    <x v="0"/>
    <x v="0"/>
    <x v="151"/>
    <x v="2"/>
    <x v="0"/>
    <x v="0"/>
    <x v="154"/>
  </r>
  <r>
    <x v="0"/>
    <x v="0"/>
    <x v="152"/>
    <x v="2"/>
    <x v="0"/>
    <x v="0"/>
    <x v="155"/>
  </r>
  <r>
    <x v="0"/>
    <x v="0"/>
    <x v="153"/>
    <x v="2"/>
    <x v="0"/>
    <x v="0"/>
    <x v="156"/>
  </r>
  <r>
    <x v="0"/>
    <x v="0"/>
    <x v="154"/>
    <x v="2"/>
    <x v="0"/>
    <x v="0"/>
    <x v="157"/>
  </r>
  <r>
    <x v="0"/>
    <x v="0"/>
    <x v="155"/>
    <x v="2"/>
    <x v="0"/>
    <x v="0"/>
    <x v="158"/>
  </r>
  <r>
    <x v="0"/>
    <x v="0"/>
    <x v="156"/>
    <x v="2"/>
    <x v="0"/>
    <x v="0"/>
    <x v="159"/>
  </r>
  <r>
    <x v="0"/>
    <x v="0"/>
    <x v="157"/>
    <x v="2"/>
    <x v="0"/>
    <x v="0"/>
    <x v="160"/>
  </r>
  <r>
    <x v="0"/>
    <x v="0"/>
    <x v="158"/>
    <x v="2"/>
    <x v="0"/>
    <x v="0"/>
    <x v="161"/>
  </r>
  <r>
    <x v="0"/>
    <x v="0"/>
    <x v="159"/>
    <x v="2"/>
    <x v="0"/>
    <x v="0"/>
    <x v="162"/>
  </r>
  <r>
    <x v="0"/>
    <x v="0"/>
    <x v="160"/>
    <x v="2"/>
    <x v="0"/>
    <x v="0"/>
    <x v="163"/>
  </r>
  <r>
    <x v="0"/>
    <x v="0"/>
    <x v="161"/>
    <x v="2"/>
    <x v="0"/>
    <x v="0"/>
    <x v="164"/>
  </r>
  <r>
    <x v="0"/>
    <x v="0"/>
    <x v="162"/>
    <x v="2"/>
    <x v="0"/>
    <x v="0"/>
    <x v="165"/>
  </r>
  <r>
    <x v="0"/>
    <x v="0"/>
    <x v="163"/>
    <x v="2"/>
    <x v="0"/>
    <x v="0"/>
    <x v="166"/>
  </r>
  <r>
    <x v="0"/>
    <x v="0"/>
    <x v="164"/>
    <x v="2"/>
    <x v="0"/>
    <x v="0"/>
    <x v="167"/>
  </r>
  <r>
    <x v="0"/>
    <x v="0"/>
    <x v="165"/>
    <x v="2"/>
    <x v="0"/>
    <x v="0"/>
    <x v="168"/>
  </r>
  <r>
    <x v="0"/>
    <x v="0"/>
    <x v="166"/>
    <x v="2"/>
    <x v="0"/>
    <x v="0"/>
    <x v="169"/>
  </r>
  <r>
    <x v="0"/>
    <x v="0"/>
    <x v="167"/>
    <x v="2"/>
    <x v="0"/>
    <x v="0"/>
    <x v="170"/>
  </r>
  <r>
    <x v="0"/>
    <x v="0"/>
    <x v="168"/>
    <x v="2"/>
    <x v="0"/>
    <x v="0"/>
    <x v="171"/>
  </r>
  <r>
    <x v="0"/>
    <x v="0"/>
    <x v="169"/>
    <x v="2"/>
    <x v="0"/>
    <x v="0"/>
    <x v="172"/>
  </r>
  <r>
    <x v="0"/>
    <x v="0"/>
    <x v="170"/>
    <x v="2"/>
    <x v="0"/>
    <x v="0"/>
    <x v="173"/>
  </r>
  <r>
    <x v="0"/>
    <x v="0"/>
    <x v="171"/>
    <x v="2"/>
    <x v="0"/>
    <x v="0"/>
    <x v="174"/>
  </r>
  <r>
    <x v="0"/>
    <x v="0"/>
    <x v="172"/>
    <x v="2"/>
    <x v="0"/>
    <x v="0"/>
    <x v="175"/>
  </r>
  <r>
    <x v="0"/>
    <x v="0"/>
    <x v="173"/>
    <x v="0"/>
    <x v="0"/>
    <x v="0"/>
    <x v="176"/>
  </r>
  <r>
    <x v="0"/>
    <x v="0"/>
    <x v="174"/>
    <x v="2"/>
    <x v="0"/>
    <x v="0"/>
    <x v="177"/>
  </r>
  <r>
    <x v="0"/>
    <x v="0"/>
    <x v="175"/>
    <x v="2"/>
    <x v="0"/>
    <x v="0"/>
    <x v="178"/>
  </r>
  <r>
    <x v="0"/>
    <x v="0"/>
    <x v="176"/>
    <x v="2"/>
    <x v="0"/>
    <x v="0"/>
    <x v="179"/>
  </r>
  <r>
    <x v="0"/>
    <x v="0"/>
    <x v="177"/>
    <x v="2"/>
    <x v="0"/>
    <x v="0"/>
    <x v="180"/>
  </r>
  <r>
    <x v="0"/>
    <x v="0"/>
    <x v="178"/>
    <x v="2"/>
    <x v="0"/>
    <x v="0"/>
    <x v="181"/>
  </r>
  <r>
    <x v="0"/>
    <x v="0"/>
    <x v="179"/>
    <x v="2"/>
    <x v="0"/>
    <x v="0"/>
    <x v="182"/>
  </r>
  <r>
    <x v="0"/>
    <x v="0"/>
    <x v="180"/>
    <x v="2"/>
    <x v="0"/>
    <x v="0"/>
    <x v="183"/>
  </r>
  <r>
    <x v="0"/>
    <x v="0"/>
    <x v="181"/>
    <x v="2"/>
    <x v="0"/>
    <x v="0"/>
    <x v="184"/>
  </r>
  <r>
    <x v="0"/>
    <x v="0"/>
    <x v="182"/>
    <x v="2"/>
    <x v="0"/>
    <x v="0"/>
    <x v="185"/>
  </r>
  <r>
    <x v="0"/>
    <x v="0"/>
    <x v="183"/>
    <x v="2"/>
    <x v="0"/>
    <x v="0"/>
    <x v="186"/>
  </r>
  <r>
    <x v="0"/>
    <x v="0"/>
    <x v="184"/>
    <x v="2"/>
    <x v="0"/>
    <x v="0"/>
    <x v="187"/>
  </r>
  <r>
    <x v="0"/>
    <x v="0"/>
    <x v="185"/>
    <x v="2"/>
    <x v="0"/>
    <x v="0"/>
    <x v="188"/>
  </r>
  <r>
    <x v="0"/>
    <x v="0"/>
    <x v="186"/>
    <x v="2"/>
    <x v="0"/>
    <x v="0"/>
    <x v="189"/>
  </r>
  <r>
    <x v="0"/>
    <x v="0"/>
    <x v="187"/>
    <x v="2"/>
    <x v="0"/>
    <x v="0"/>
    <x v="190"/>
  </r>
  <r>
    <x v="0"/>
    <x v="0"/>
    <x v="188"/>
    <x v="2"/>
    <x v="0"/>
    <x v="0"/>
    <x v="191"/>
  </r>
  <r>
    <x v="0"/>
    <x v="0"/>
    <x v="189"/>
    <x v="2"/>
    <x v="0"/>
    <x v="0"/>
    <x v="192"/>
  </r>
  <r>
    <x v="0"/>
    <x v="0"/>
    <x v="190"/>
    <x v="2"/>
    <x v="0"/>
    <x v="0"/>
    <x v="193"/>
  </r>
  <r>
    <x v="0"/>
    <x v="0"/>
    <x v="191"/>
    <x v="2"/>
    <x v="0"/>
    <x v="0"/>
    <x v="194"/>
  </r>
  <r>
    <x v="0"/>
    <x v="0"/>
    <x v="192"/>
    <x v="2"/>
    <x v="0"/>
    <x v="0"/>
    <x v="195"/>
  </r>
  <r>
    <x v="0"/>
    <x v="0"/>
    <x v="193"/>
    <x v="2"/>
    <x v="0"/>
    <x v="0"/>
    <x v="196"/>
  </r>
  <r>
    <x v="0"/>
    <x v="0"/>
    <x v="194"/>
    <x v="2"/>
    <x v="0"/>
    <x v="0"/>
    <x v="197"/>
  </r>
  <r>
    <x v="0"/>
    <x v="0"/>
    <x v="195"/>
    <x v="2"/>
    <x v="0"/>
    <x v="0"/>
    <x v="198"/>
  </r>
  <r>
    <x v="0"/>
    <x v="0"/>
    <x v="196"/>
    <x v="2"/>
    <x v="0"/>
    <x v="0"/>
    <x v="199"/>
  </r>
  <r>
    <x v="0"/>
    <x v="0"/>
    <x v="197"/>
    <x v="2"/>
    <x v="0"/>
    <x v="0"/>
    <x v="200"/>
  </r>
  <r>
    <x v="0"/>
    <x v="0"/>
    <x v="198"/>
    <x v="2"/>
    <x v="0"/>
    <x v="0"/>
    <x v="201"/>
  </r>
  <r>
    <x v="0"/>
    <x v="0"/>
    <x v="199"/>
    <x v="2"/>
    <x v="0"/>
    <x v="0"/>
    <x v="202"/>
  </r>
  <r>
    <x v="0"/>
    <x v="0"/>
    <x v="200"/>
    <x v="2"/>
    <x v="0"/>
    <x v="0"/>
    <x v="203"/>
  </r>
  <r>
    <x v="0"/>
    <x v="0"/>
    <x v="201"/>
    <x v="2"/>
    <x v="0"/>
    <x v="0"/>
    <x v="204"/>
  </r>
  <r>
    <x v="0"/>
    <x v="0"/>
    <x v="202"/>
    <x v="2"/>
    <x v="0"/>
    <x v="0"/>
    <x v="205"/>
  </r>
  <r>
    <x v="0"/>
    <x v="0"/>
    <x v="203"/>
    <x v="2"/>
    <x v="0"/>
    <x v="0"/>
    <x v="206"/>
  </r>
  <r>
    <x v="0"/>
    <x v="0"/>
    <x v="204"/>
    <x v="2"/>
    <x v="0"/>
    <x v="0"/>
    <x v="207"/>
  </r>
  <r>
    <x v="0"/>
    <x v="0"/>
    <x v="205"/>
    <x v="2"/>
    <x v="0"/>
    <x v="0"/>
    <x v="208"/>
  </r>
  <r>
    <x v="0"/>
    <x v="0"/>
    <x v="206"/>
    <x v="2"/>
    <x v="0"/>
    <x v="0"/>
    <x v="209"/>
  </r>
  <r>
    <x v="0"/>
    <x v="0"/>
    <x v="207"/>
    <x v="2"/>
    <x v="0"/>
    <x v="0"/>
    <x v="210"/>
  </r>
  <r>
    <x v="0"/>
    <x v="0"/>
    <x v="208"/>
    <x v="2"/>
    <x v="0"/>
    <x v="0"/>
    <x v="211"/>
  </r>
  <r>
    <x v="0"/>
    <x v="0"/>
    <x v="209"/>
    <x v="2"/>
    <x v="0"/>
    <x v="0"/>
    <x v="212"/>
  </r>
  <r>
    <x v="0"/>
    <x v="0"/>
    <x v="210"/>
    <x v="2"/>
    <x v="0"/>
    <x v="0"/>
    <x v="213"/>
  </r>
  <r>
    <x v="0"/>
    <x v="0"/>
    <x v="211"/>
    <x v="2"/>
    <x v="0"/>
    <x v="0"/>
    <x v="214"/>
  </r>
  <r>
    <x v="0"/>
    <x v="0"/>
    <x v="212"/>
    <x v="2"/>
    <x v="0"/>
    <x v="0"/>
    <x v="215"/>
  </r>
  <r>
    <x v="0"/>
    <x v="0"/>
    <x v="213"/>
    <x v="2"/>
    <x v="0"/>
    <x v="0"/>
    <x v="10"/>
  </r>
  <r>
    <x v="0"/>
    <x v="0"/>
    <x v="214"/>
    <x v="2"/>
    <x v="0"/>
    <x v="0"/>
    <x v="216"/>
  </r>
  <r>
    <x v="0"/>
    <x v="0"/>
    <x v="215"/>
    <x v="2"/>
    <x v="0"/>
    <x v="0"/>
    <x v="217"/>
  </r>
  <r>
    <x v="0"/>
    <x v="0"/>
    <x v="216"/>
    <x v="2"/>
    <x v="0"/>
    <x v="0"/>
    <x v="218"/>
  </r>
  <r>
    <x v="0"/>
    <x v="0"/>
    <x v="217"/>
    <x v="2"/>
    <x v="0"/>
    <x v="0"/>
    <x v="219"/>
  </r>
  <r>
    <x v="0"/>
    <x v="0"/>
    <x v="218"/>
    <x v="2"/>
    <x v="0"/>
    <x v="0"/>
    <x v="220"/>
  </r>
  <r>
    <x v="0"/>
    <x v="0"/>
    <x v="219"/>
    <x v="2"/>
    <x v="0"/>
    <x v="0"/>
    <x v="221"/>
  </r>
  <r>
    <x v="0"/>
    <x v="0"/>
    <x v="220"/>
    <x v="2"/>
    <x v="0"/>
    <x v="0"/>
    <x v="222"/>
  </r>
  <r>
    <x v="0"/>
    <x v="0"/>
    <x v="221"/>
    <x v="2"/>
    <x v="0"/>
    <x v="0"/>
    <x v="223"/>
  </r>
  <r>
    <x v="0"/>
    <x v="0"/>
    <x v="222"/>
    <x v="2"/>
    <x v="0"/>
    <x v="0"/>
    <x v="224"/>
  </r>
  <r>
    <x v="0"/>
    <x v="0"/>
    <x v="223"/>
    <x v="2"/>
    <x v="0"/>
    <x v="0"/>
    <x v="225"/>
  </r>
  <r>
    <x v="0"/>
    <x v="0"/>
    <x v="224"/>
    <x v="2"/>
    <x v="0"/>
    <x v="0"/>
    <x v="226"/>
  </r>
  <r>
    <x v="0"/>
    <x v="0"/>
    <x v="225"/>
    <x v="2"/>
    <x v="0"/>
    <x v="0"/>
    <x v="227"/>
  </r>
  <r>
    <x v="0"/>
    <x v="0"/>
    <x v="226"/>
    <x v="2"/>
    <x v="0"/>
    <x v="0"/>
    <x v="228"/>
  </r>
  <r>
    <x v="0"/>
    <x v="0"/>
    <x v="227"/>
    <x v="2"/>
    <x v="0"/>
    <x v="0"/>
    <x v="229"/>
  </r>
  <r>
    <x v="0"/>
    <x v="0"/>
    <x v="228"/>
    <x v="2"/>
    <x v="0"/>
    <x v="0"/>
    <x v="230"/>
  </r>
  <r>
    <x v="0"/>
    <x v="0"/>
    <x v="229"/>
    <x v="2"/>
    <x v="0"/>
    <x v="0"/>
    <x v="231"/>
  </r>
  <r>
    <x v="0"/>
    <x v="0"/>
    <x v="230"/>
    <x v="2"/>
    <x v="0"/>
    <x v="0"/>
    <x v="232"/>
  </r>
  <r>
    <x v="0"/>
    <x v="0"/>
    <x v="231"/>
    <x v="2"/>
    <x v="0"/>
    <x v="0"/>
    <x v="233"/>
  </r>
  <r>
    <x v="0"/>
    <x v="0"/>
    <x v="232"/>
    <x v="2"/>
    <x v="0"/>
    <x v="0"/>
    <x v="234"/>
  </r>
  <r>
    <x v="0"/>
    <x v="0"/>
    <x v="233"/>
    <x v="0"/>
    <x v="0"/>
    <x v="0"/>
    <x v="235"/>
  </r>
  <r>
    <x v="0"/>
    <x v="0"/>
    <x v="234"/>
    <x v="2"/>
    <x v="0"/>
    <x v="0"/>
    <x v="236"/>
  </r>
  <r>
    <x v="0"/>
    <x v="0"/>
    <x v="235"/>
    <x v="2"/>
    <x v="0"/>
    <x v="0"/>
    <x v="237"/>
  </r>
  <r>
    <x v="0"/>
    <x v="0"/>
    <x v="236"/>
    <x v="2"/>
    <x v="0"/>
    <x v="0"/>
    <x v="238"/>
  </r>
  <r>
    <x v="0"/>
    <x v="0"/>
    <x v="237"/>
    <x v="2"/>
    <x v="0"/>
    <x v="0"/>
    <x v="239"/>
  </r>
  <r>
    <x v="0"/>
    <x v="0"/>
    <x v="238"/>
    <x v="2"/>
    <x v="0"/>
    <x v="0"/>
    <x v="240"/>
  </r>
  <r>
    <x v="0"/>
    <x v="0"/>
    <x v="239"/>
    <x v="2"/>
    <x v="0"/>
    <x v="0"/>
    <x v="241"/>
  </r>
  <r>
    <x v="0"/>
    <x v="0"/>
    <x v="240"/>
    <x v="2"/>
    <x v="0"/>
    <x v="0"/>
    <x v="242"/>
  </r>
  <r>
    <x v="0"/>
    <x v="0"/>
    <x v="241"/>
    <x v="2"/>
    <x v="0"/>
    <x v="0"/>
    <x v="243"/>
  </r>
  <r>
    <x v="0"/>
    <x v="0"/>
    <x v="242"/>
    <x v="2"/>
    <x v="0"/>
    <x v="0"/>
    <x v="244"/>
  </r>
  <r>
    <x v="0"/>
    <x v="0"/>
    <x v="243"/>
    <x v="2"/>
    <x v="0"/>
    <x v="0"/>
    <x v="245"/>
  </r>
  <r>
    <x v="0"/>
    <x v="0"/>
    <x v="244"/>
    <x v="2"/>
    <x v="0"/>
    <x v="0"/>
    <x v="246"/>
  </r>
  <r>
    <x v="0"/>
    <x v="0"/>
    <x v="245"/>
    <x v="2"/>
    <x v="0"/>
    <x v="0"/>
    <x v="247"/>
  </r>
  <r>
    <x v="0"/>
    <x v="0"/>
    <x v="246"/>
    <x v="2"/>
    <x v="0"/>
    <x v="0"/>
    <x v="248"/>
  </r>
  <r>
    <x v="0"/>
    <x v="0"/>
    <x v="247"/>
    <x v="2"/>
    <x v="0"/>
    <x v="0"/>
    <x v="249"/>
  </r>
  <r>
    <x v="0"/>
    <x v="0"/>
    <x v="248"/>
    <x v="0"/>
    <x v="0"/>
    <x v="0"/>
    <x v="250"/>
  </r>
  <r>
    <x v="0"/>
    <x v="0"/>
    <x v="249"/>
    <x v="2"/>
    <x v="0"/>
    <x v="0"/>
    <x v="251"/>
  </r>
  <r>
    <x v="0"/>
    <x v="0"/>
    <x v="250"/>
    <x v="2"/>
    <x v="0"/>
    <x v="0"/>
    <x v="252"/>
  </r>
  <r>
    <x v="0"/>
    <x v="0"/>
    <x v="251"/>
    <x v="2"/>
    <x v="0"/>
    <x v="0"/>
    <x v="253"/>
  </r>
  <r>
    <x v="0"/>
    <x v="0"/>
    <x v="252"/>
    <x v="2"/>
    <x v="0"/>
    <x v="0"/>
    <x v="254"/>
  </r>
  <r>
    <x v="0"/>
    <x v="0"/>
    <x v="253"/>
    <x v="0"/>
    <x v="0"/>
    <x v="0"/>
    <x v="255"/>
  </r>
  <r>
    <x v="0"/>
    <x v="0"/>
    <x v="254"/>
    <x v="2"/>
    <x v="0"/>
    <x v="0"/>
    <x v="256"/>
  </r>
  <r>
    <x v="0"/>
    <x v="0"/>
    <x v="255"/>
    <x v="2"/>
    <x v="0"/>
    <x v="0"/>
    <x v="257"/>
  </r>
  <r>
    <x v="0"/>
    <x v="0"/>
    <x v="256"/>
    <x v="2"/>
    <x v="0"/>
    <x v="0"/>
    <x v="258"/>
  </r>
  <r>
    <x v="0"/>
    <x v="0"/>
    <x v="257"/>
    <x v="2"/>
    <x v="0"/>
    <x v="0"/>
    <x v="259"/>
  </r>
  <r>
    <x v="0"/>
    <x v="0"/>
    <x v="258"/>
    <x v="2"/>
    <x v="0"/>
    <x v="0"/>
    <x v="260"/>
  </r>
  <r>
    <x v="0"/>
    <x v="0"/>
    <x v="259"/>
    <x v="2"/>
    <x v="0"/>
    <x v="0"/>
    <x v="261"/>
  </r>
  <r>
    <x v="0"/>
    <x v="0"/>
    <x v="260"/>
    <x v="2"/>
    <x v="0"/>
    <x v="0"/>
    <x v="262"/>
  </r>
  <r>
    <x v="0"/>
    <x v="0"/>
    <x v="261"/>
    <x v="2"/>
    <x v="0"/>
    <x v="0"/>
    <x v="263"/>
  </r>
  <r>
    <x v="0"/>
    <x v="0"/>
    <x v="262"/>
    <x v="2"/>
    <x v="0"/>
    <x v="0"/>
    <x v="264"/>
  </r>
  <r>
    <x v="0"/>
    <x v="0"/>
    <x v="263"/>
    <x v="2"/>
    <x v="0"/>
    <x v="0"/>
    <x v="265"/>
  </r>
  <r>
    <x v="0"/>
    <x v="0"/>
    <x v="264"/>
    <x v="2"/>
    <x v="0"/>
    <x v="0"/>
    <x v="266"/>
  </r>
  <r>
    <x v="0"/>
    <x v="0"/>
    <x v="265"/>
    <x v="2"/>
    <x v="0"/>
    <x v="0"/>
    <x v="267"/>
  </r>
  <r>
    <x v="0"/>
    <x v="0"/>
    <x v="266"/>
    <x v="2"/>
    <x v="0"/>
    <x v="0"/>
    <x v="268"/>
  </r>
  <r>
    <x v="0"/>
    <x v="0"/>
    <x v="267"/>
    <x v="2"/>
    <x v="0"/>
    <x v="0"/>
    <x v="269"/>
  </r>
  <r>
    <x v="0"/>
    <x v="0"/>
    <x v="268"/>
    <x v="2"/>
    <x v="0"/>
    <x v="0"/>
    <x v="270"/>
  </r>
  <r>
    <x v="0"/>
    <x v="0"/>
    <x v="269"/>
    <x v="0"/>
    <x v="0"/>
    <x v="0"/>
    <x v="271"/>
  </r>
  <r>
    <x v="0"/>
    <x v="0"/>
    <x v="270"/>
    <x v="2"/>
    <x v="0"/>
    <x v="0"/>
    <x v="272"/>
  </r>
  <r>
    <x v="0"/>
    <x v="0"/>
    <x v="271"/>
    <x v="2"/>
    <x v="0"/>
    <x v="0"/>
    <x v="273"/>
  </r>
  <r>
    <x v="0"/>
    <x v="0"/>
    <x v="272"/>
    <x v="2"/>
    <x v="0"/>
    <x v="0"/>
    <x v="274"/>
  </r>
  <r>
    <x v="0"/>
    <x v="0"/>
    <x v="273"/>
    <x v="2"/>
    <x v="0"/>
    <x v="0"/>
    <x v="275"/>
  </r>
  <r>
    <x v="0"/>
    <x v="0"/>
    <x v="274"/>
    <x v="2"/>
    <x v="0"/>
    <x v="0"/>
    <x v="276"/>
  </r>
  <r>
    <x v="0"/>
    <x v="0"/>
    <x v="275"/>
    <x v="2"/>
    <x v="0"/>
    <x v="0"/>
    <x v="277"/>
  </r>
  <r>
    <x v="0"/>
    <x v="0"/>
    <x v="276"/>
    <x v="2"/>
    <x v="0"/>
    <x v="0"/>
    <x v="278"/>
  </r>
  <r>
    <x v="0"/>
    <x v="0"/>
    <x v="277"/>
    <x v="2"/>
    <x v="0"/>
    <x v="0"/>
    <x v="279"/>
  </r>
  <r>
    <x v="0"/>
    <x v="0"/>
    <x v="277"/>
    <x v="0"/>
    <x v="0"/>
    <x v="0"/>
    <x v="280"/>
  </r>
  <r>
    <x v="0"/>
    <x v="0"/>
    <x v="278"/>
    <x v="2"/>
    <x v="0"/>
    <x v="0"/>
    <x v="281"/>
  </r>
  <r>
    <x v="0"/>
    <x v="0"/>
    <x v="279"/>
    <x v="2"/>
    <x v="0"/>
    <x v="0"/>
    <x v="282"/>
  </r>
  <r>
    <x v="0"/>
    <x v="0"/>
    <x v="280"/>
    <x v="2"/>
    <x v="0"/>
    <x v="0"/>
    <x v="283"/>
  </r>
  <r>
    <x v="0"/>
    <x v="0"/>
    <x v="281"/>
    <x v="2"/>
    <x v="0"/>
    <x v="0"/>
    <x v="284"/>
  </r>
  <r>
    <x v="0"/>
    <x v="0"/>
    <x v="282"/>
    <x v="2"/>
    <x v="0"/>
    <x v="0"/>
    <x v="285"/>
  </r>
  <r>
    <x v="0"/>
    <x v="0"/>
    <x v="283"/>
    <x v="2"/>
    <x v="0"/>
    <x v="0"/>
    <x v="286"/>
  </r>
  <r>
    <x v="0"/>
    <x v="0"/>
    <x v="284"/>
    <x v="0"/>
    <x v="0"/>
    <x v="0"/>
    <x v="287"/>
  </r>
  <r>
    <x v="0"/>
    <x v="0"/>
    <x v="285"/>
    <x v="2"/>
    <x v="0"/>
    <x v="0"/>
    <x v="288"/>
  </r>
  <r>
    <x v="0"/>
    <x v="0"/>
    <x v="286"/>
    <x v="2"/>
    <x v="0"/>
    <x v="0"/>
    <x v="289"/>
  </r>
  <r>
    <x v="0"/>
    <x v="0"/>
    <x v="287"/>
    <x v="2"/>
    <x v="0"/>
    <x v="0"/>
    <x v="290"/>
  </r>
  <r>
    <x v="0"/>
    <x v="0"/>
    <x v="288"/>
    <x v="2"/>
    <x v="0"/>
    <x v="0"/>
    <x v="291"/>
  </r>
  <r>
    <x v="0"/>
    <x v="0"/>
    <x v="289"/>
    <x v="2"/>
    <x v="0"/>
    <x v="0"/>
    <x v="292"/>
  </r>
  <r>
    <x v="0"/>
    <x v="0"/>
    <x v="290"/>
    <x v="2"/>
    <x v="0"/>
    <x v="0"/>
    <x v="293"/>
  </r>
  <r>
    <x v="0"/>
    <x v="0"/>
    <x v="291"/>
    <x v="2"/>
    <x v="0"/>
    <x v="0"/>
    <x v="294"/>
  </r>
  <r>
    <x v="0"/>
    <x v="0"/>
    <x v="292"/>
    <x v="2"/>
    <x v="0"/>
    <x v="0"/>
    <x v="295"/>
  </r>
  <r>
    <x v="0"/>
    <x v="0"/>
    <x v="293"/>
    <x v="2"/>
    <x v="0"/>
    <x v="0"/>
    <x v="296"/>
  </r>
  <r>
    <x v="0"/>
    <x v="0"/>
    <x v="294"/>
    <x v="2"/>
    <x v="0"/>
    <x v="0"/>
    <x v="297"/>
  </r>
  <r>
    <x v="0"/>
    <x v="0"/>
    <x v="295"/>
    <x v="0"/>
    <x v="0"/>
    <x v="0"/>
    <x v="298"/>
  </r>
  <r>
    <x v="0"/>
    <x v="0"/>
    <x v="296"/>
    <x v="2"/>
    <x v="0"/>
    <x v="0"/>
    <x v="299"/>
  </r>
  <r>
    <x v="0"/>
    <x v="0"/>
    <x v="297"/>
    <x v="0"/>
    <x v="0"/>
    <x v="0"/>
    <x v="300"/>
  </r>
  <r>
    <x v="0"/>
    <x v="0"/>
    <x v="298"/>
    <x v="2"/>
    <x v="0"/>
    <x v="0"/>
    <x v="301"/>
  </r>
  <r>
    <x v="0"/>
    <x v="0"/>
    <x v="299"/>
    <x v="2"/>
    <x v="0"/>
    <x v="0"/>
    <x v="302"/>
  </r>
  <r>
    <x v="0"/>
    <x v="0"/>
    <x v="300"/>
    <x v="2"/>
    <x v="0"/>
    <x v="0"/>
    <x v="303"/>
  </r>
  <r>
    <x v="0"/>
    <x v="0"/>
    <x v="301"/>
    <x v="2"/>
    <x v="0"/>
    <x v="0"/>
    <x v="304"/>
  </r>
  <r>
    <x v="0"/>
    <x v="0"/>
    <x v="302"/>
    <x v="2"/>
    <x v="0"/>
    <x v="0"/>
    <x v="305"/>
  </r>
  <r>
    <x v="0"/>
    <x v="0"/>
    <x v="303"/>
    <x v="2"/>
    <x v="0"/>
    <x v="0"/>
    <x v="306"/>
  </r>
  <r>
    <x v="0"/>
    <x v="0"/>
    <x v="304"/>
    <x v="0"/>
    <x v="0"/>
    <x v="0"/>
    <x v="307"/>
  </r>
  <r>
    <x v="0"/>
    <x v="0"/>
    <x v="305"/>
    <x v="2"/>
    <x v="0"/>
    <x v="0"/>
    <x v="308"/>
  </r>
  <r>
    <x v="0"/>
    <x v="0"/>
    <x v="306"/>
    <x v="2"/>
    <x v="0"/>
    <x v="0"/>
    <x v="309"/>
  </r>
  <r>
    <x v="0"/>
    <x v="0"/>
    <x v="307"/>
    <x v="2"/>
    <x v="0"/>
    <x v="0"/>
    <x v="310"/>
  </r>
  <r>
    <x v="0"/>
    <x v="0"/>
    <x v="308"/>
    <x v="1"/>
    <x v="0"/>
    <x v="0"/>
    <x v="311"/>
  </r>
  <r>
    <x v="0"/>
    <x v="0"/>
    <x v="309"/>
    <x v="0"/>
    <x v="0"/>
    <x v="0"/>
    <x v="312"/>
  </r>
  <r>
    <x v="0"/>
    <x v="0"/>
    <x v="310"/>
    <x v="2"/>
    <x v="0"/>
    <x v="0"/>
    <x v="313"/>
  </r>
  <r>
    <x v="0"/>
    <x v="0"/>
    <x v="311"/>
    <x v="2"/>
    <x v="0"/>
    <x v="0"/>
    <x v="314"/>
  </r>
  <r>
    <x v="0"/>
    <x v="0"/>
    <x v="312"/>
    <x v="2"/>
    <x v="0"/>
    <x v="0"/>
    <x v="315"/>
  </r>
  <r>
    <x v="0"/>
    <x v="0"/>
    <x v="313"/>
    <x v="2"/>
    <x v="0"/>
    <x v="0"/>
    <x v="316"/>
  </r>
  <r>
    <x v="0"/>
    <x v="0"/>
    <x v="314"/>
    <x v="2"/>
    <x v="0"/>
    <x v="0"/>
    <x v="317"/>
  </r>
  <r>
    <x v="0"/>
    <x v="0"/>
    <x v="315"/>
    <x v="2"/>
    <x v="0"/>
    <x v="0"/>
    <x v="318"/>
  </r>
  <r>
    <x v="0"/>
    <x v="0"/>
    <x v="316"/>
    <x v="2"/>
    <x v="0"/>
    <x v="0"/>
    <x v="319"/>
  </r>
  <r>
    <x v="0"/>
    <x v="0"/>
    <x v="317"/>
    <x v="2"/>
    <x v="0"/>
    <x v="0"/>
    <x v="320"/>
  </r>
  <r>
    <x v="0"/>
    <x v="0"/>
    <x v="318"/>
    <x v="2"/>
    <x v="0"/>
    <x v="0"/>
    <x v="321"/>
  </r>
  <r>
    <x v="0"/>
    <x v="0"/>
    <x v="319"/>
    <x v="0"/>
    <x v="0"/>
    <x v="0"/>
    <x v="322"/>
  </r>
  <r>
    <x v="0"/>
    <x v="0"/>
    <x v="320"/>
    <x v="2"/>
    <x v="0"/>
    <x v="0"/>
    <x v="323"/>
  </r>
  <r>
    <x v="0"/>
    <x v="0"/>
    <x v="321"/>
    <x v="2"/>
    <x v="0"/>
    <x v="0"/>
    <x v="324"/>
  </r>
  <r>
    <x v="0"/>
    <x v="0"/>
    <x v="322"/>
    <x v="2"/>
    <x v="0"/>
    <x v="0"/>
    <x v="325"/>
  </r>
  <r>
    <x v="0"/>
    <x v="0"/>
    <x v="323"/>
    <x v="2"/>
    <x v="0"/>
    <x v="0"/>
    <x v="326"/>
  </r>
  <r>
    <x v="0"/>
    <x v="0"/>
    <x v="324"/>
    <x v="2"/>
    <x v="0"/>
    <x v="0"/>
    <x v="327"/>
  </r>
  <r>
    <x v="0"/>
    <x v="0"/>
    <x v="325"/>
    <x v="2"/>
    <x v="0"/>
    <x v="0"/>
    <x v="328"/>
  </r>
  <r>
    <x v="0"/>
    <x v="0"/>
    <x v="326"/>
    <x v="2"/>
    <x v="0"/>
    <x v="0"/>
    <x v="329"/>
  </r>
  <r>
    <x v="0"/>
    <x v="0"/>
    <x v="327"/>
    <x v="2"/>
    <x v="0"/>
    <x v="0"/>
    <x v="330"/>
  </r>
  <r>
    <x v="0"/>
    <x v="0"/>
    <x v="328"/>
    <x v="2"/>
    <x v="0"/>
    <x v="0"/>
    <x v="331"/>
  </r>
  <r>
    <x v="0"/>
    <x v="0"/>
    <x v="329"/>
    <x v="2"/>
    <x v="0"/>
    <x v="0"/>
    <x v="332"/>
  </r>
  <r>
    <x v="0"/>
    <x v="0"/>
    <x v="330"/>
    <x v="2"/>
    <x v="0"/>
    <x v="0"/>
    <x v="333"/>
  </r>
  <r>
    <x v="0"/>
    <x v="0"/>
    <x v="331"/>
    <x v="2"/>
    <x v="0"/>
    <x v="0"/>
    <x v="334"/>
  </r>
  <r>
    <x v="0"/>
    <x v="0"/>
    <x v="332"/>
    <x v="2"/>
    <x v="0"/>
    <x v="0"/>
    <x v="335"/>
  </r>
  <r>
    <x v="0"/>
    <x v="0"/>
    <x v="333"/>
    <x v="2"/>
    <x v="0"/>
    <x v="0"/>
    <x v="336"/>
  </r>
  <r>
    <x v="0"/>
    <x v="0"/>
    <x v="334"/>
    <x v="2"/>
    <x v="0"/>
    <x v="0"/>
    <x v="337"/>
  </r>
  <r>
    <x v="0"/>
    <x v="0"/>
    <x v="335"/>
    <x v="2"/>
    <x v="0"/>
    <x v="0"/>
    <x v="338"/>
  </r>
  <r>
    <x v="0"/>
    <x v="0"/>
    <x v="336"/>
    <x v="2"/>
    <x v="0"/>
    <x v="0"/>
    <x v="339"/>
  </r>
  <r>
    <x v="0"/>
    <x v="0"/>
    <x v="337"/>
    <x v="2"/>
    <x v="0"/>
    <x v="0"/>
    <x v="340"/>
  </r>
  <r>
    <x v="0"/>
    <x v="0"/>
    <x v="338"/>
    <x v="2"/>
    <x v="0"/>
    <x v="0"/>
    <x v="341"/>
  </r>
  <r>
    <x v="0"/>
    <x v="0"/>
    <x v="339"/>
    <x v="2"/>
    <x v="0"/>
    <x v="0"/>
    <x v="342"/>
  </r>
  <r>
    <x v="0"/>
    <x v="0"/>
    <x v="340"/>
    <x v="2"/>
    <x v="0"/>
    <x v="0"/>
    <x v="343"/>
  </r>
  <r>
    <x v="0"/>
    <x v="0"/>
    <x v="341"/>
    <x v="2"/>
    <x v="0"/>
    <x v="0"/>
    <x v="344"/>
  </r>
  <r>
    <x v="0"/>
    <x v="0"/>
    <x v="342"/>
    <x v="2"/>
    <x v="0"/>
    <x v="0"/>
    <x v="345"/>
  </r>
  <r>
    <x v="0"/>
    <x v="0"/>
    <x v="343"/>
    <x v="2"/>
    <x v="0"/>
    <x v="0"/>
    <x v="346"/>
  </r>
  <r>
    <x v="0"/>
    <x v="0"/>
    <x v="344"/>
    <x v="2"/>
    <x v="0"/>
    <x v="0"/>
    <x v="347"/>
  </r>
  <r>
    <x v="0"/>
    <x v="0"/>
    <x v="345"/>
    <x v="2"/>
    <x v="0"/>
    <x v="0"/>
    <x v="348"/>
  </r>
  <r>
    <x v="0"/>
    <x v="0"/>
    <x v="346"/>
    <x v="2"/>
    <x v="0"/>
    <x v="0"/>
    <x v="349"/>
  </r>
  <r>
    <x v="0"/>
    <x v="0"/>
    <x v="347"/>
    <x v="0"/>
    <x v="0"/>
    <x v="0"/>
    <x v="312"/>
  </r>
  <r>
    <x v="0"/>
    <x v="0"/>
    <x v="348"/>
    <x v="2"/>
    <x v="0"/>
    <x v="0"/>
    <x v="350"/>
  </r>
  <r>
    <x v="0"/>
    <x v="0"/>
    <x v="349"/>
    <x v="2"/>
    <x v="0"/>
    <x v="0"/>
    <x v="351"/>
  </r>
  <r>
    <x v="0"/>
    <x v="0"/>
    <x v="350"/>
    <x v="2"/>
    <x v="0"/>
    <x v="0"/>
    <x v="352"/>
  </r>
  <r>
    <x v="0"/>
    <x v="0"/>
    <x v="351"/>
    <x v="2"/>
    <x v="0"/>
    <x v="0"/>
    <x v="353"/>
  </r>
  <r>
    <x v="0"/>
    <x v="0"/>
    <x v="352"/>
    <x v="2"/>
    <x v="0"/>
    <x v="0"/>
    <x v="354"/>
  </r>
  <r>
    <x v="0"/>
    <x v="0"/>
    <x v="353"/>
    <x v="2"/>
    <x v="0"/>
    <x v="0"/>
    <x v="355"/>
  </r>
  <r>
    <x v="0"/>
    <x v="0"/>
    <x v="354"/>
    <x v="2"/>
    <x v="0"/>
    <x v="0"/>
    <x v="356"/>
  </r>
  <r>
    <x v="0"/>
    <x v="0"/>
    <x v="355"/>
    <x v="0"/>
    <x v="0"/>
    <x v="0"/>
    <x v="357"/>
  </r>
  <r>
    <x v="0"/>
    <x v="0"/>
    <x v="356"/>
    <x v="2"/>
    <x v="0"/>
    <x v="0"/>
    <x v="358"/>
  </r>
  <r>
    <x v="0"/>
    <x v="0"/>
    <x v="357"/>
    <x v="2"/>
    <x v="0"/>
    <x v="0"/>
    <x v="359"/>
  </r>
  <r>
    <x v="0"/>
    <x v="0"/>
    <x v="358"/>
    <x v="2"/>
    <x v="0"/>
    <x v="0"/>
    <x v="360"/>
  </r>
  <r>
    <x v="0"/>
    <x v="0"/>
    <x v="359"/>
    <x v="0"/>
    <x v="0"/>
    <x v="0"/>
    <x v="361"/>
  </r>
  <r>
    <x v="0"/>
    <x v="0"/>
    <x v="360"/>
    <x v="2"/>
    <x v="0"/>
    <x v="0"/>
    <x v="359"/>
  </r>
  <r>
    <x v="0"/>
    <x v="0"/>
    <x v="361"/>
    <x v="2"/>
    <x v="0"/>
    <x v="0"/>
    <x v="362"/>
  </r>
  <r>
    <x v="0"/>
    <x v="0"/>
    <x v="362"/>
    <x v="2"/>
    <x v="0"/>
    <x v="0"/>
    <x v="363"/>
  </r>
  <r>
    <x v="0"/>
    <x v="0"/>
    <x v="363"/>
    <x v="2"/>
    <x v="0"/>
    <x v="0"/>
    <x v="364"/>
  </r>
  <r>
    <x v="0"/>
    <x v="0"/>
    <x v="364"/>
    <x v="2"/>
    <x v="0"/>
    <x v="0"/>
    <x v="365"/>
  </r>
  <r>
    <x v="0"/>
    <x v="0"/>
    <x v="365"/>
    <x v="2"/>
    <x v="0"/>
    <x v="0"/>
    <x v="366"/>
  </r>
  <r>
    <x v="0"/>
    <x v="0"/>
    <x v="366"/>
    <x v="2"/>
    <x v="0"/>
    <x v="0"/>
    <x v="367"/>
  </r>
  <r>
    <x v="0"/>
    <x v="0"/>
    <x v="367"/>
    <x v="2"/>
    <x v="0"/>
    <x v="0"/>
    <x v="368"/>
  </r>
  <r>
    <x v="0"/>
    <x v="0"/>
    <x v="368"/>
    <x v="2"/>
    <x v="0"/>
    <x v="0"/>
    <x v="369"/>
  </r>
  <r>
    <x v="0"/>
    <x v="0"/>
    <x v="368"/>
    <x v="0"/>
    <x v="0"/>
    <x v="0"/>
    <x v="370"/>
  </r>
  <r>
    <x v="0"/>
    <x v="0"/>
    <x v="369"/>
    <x v="2"/>
    <x v="0"/>
    <x v="0"/>
    <x v="371"/>
  </r>
  <r>
    <x v="0"/>
    <x v="0"/>
    <x v="370"/>
    <x v="2"/>
    <x v="0"/>
    <x v="0"/>
    <x v="372"/>
  </r>
  <r>
    <x v="0"/>
    <x v="0"/>
    <x v="371"/>
    <x v="1"/>
    <x v="0"/>
    <x v="0"/>
    <x v="373"/>
  </r>
  <r>
    <x v="0"/>
    <x v="0"/>
    <x v="372"/>
    <x v="2"/>
    <x v="0"/>
    <x v="0"/>
    <x v="374"/>
  </r>
  <r>
    <x v="0"/>
    <x v="0"/>
    <x v="373"/>
    <x v="2"/>
    <x v="0"/>
    <x v="0"/>
    <x v="375"/>
  </r>
  <r>
    <x v="0"/>
    <x v="0"/>
    <x v="374"/>
    <x v="2"/>
    <x v="0"/>
    <x v="0"/>
    <x v="376"/>
  </r>
  <r>
    <x v="0"/>
    <x v="0"/>
    <x v="375"/>
    <x v="2"/>
    <x v="0"/>
    <x v="0"/>
    <x v="377"/>
  </r>
  <r>
    <x v="0"/>
    <x v="0"/>
    <x v="376"/>
    <x v="2"/>
    <x v="0"/>
    <x v="0"/>
    <x v="378"/>
  </r>
  <r>
    <x v="0"/>
    <x v="0"/>
    <x v="377"/>
    <x v="2"/>
    <x v="0"/>
    <x v="0"/>
    <x v="379"/>
  </r>
  <r>
    <x v="0"/>
    <x v="0"/>
    <x v="378"/>
    <x v="2"/>
    <x v="0"/>
    <x v="0"/>
    <x v="380"/>
  </r>
  <r>
    <x v="0"/>
    <x v="0"/>
    <x v="379"/>
    <x v="2"/>
    <x v="0"/>
    <x v="0"/>
    <x v="381"/>
  </r>
  <r>
    <x v="0"/>
    <x v="0"/>
    <x v="380"/>
    <x v="2"/>
    <x v="0"/>
    <x v="0"/>
    <x v="382"/>
  </r>
  <r>
    <x v="0"/>
    <x v="0"/>
    <x v="381"/>
    <x v="2"/>
    <x v="0"/>
    <x v="0"/>
    <x v="383"/>
  </r>
  <r>
    <x v="0"/>
    <x v="0"/>
    <x v="382"/>
    <x v="2"/>
    <x v="0"/>
    <x v="0"/>
    <x v="384"/>
  </r>
  <r>
    <x v="0"/>
    <x v="0"/>
    <x v="383"/>
    <x v="2"/>
    <x v="0"/>
    <x v="0"/>
    <x v="385"/>
  </r>
  <r>
    <x v="0"/>
    <x v="0"/>
    <x v="384"/>
    <x v="0"/>
    <x v="0"/>
    <x v="0"/>
    <x v="386"/>
  </r>
  <r>
    <x v="0"/>
    <x v="0"/>
    <x v="385"/>
    <x v="2"/>
    <x v="0"/>
    <x v="0"/>
    <x v="387"/>
  </r>
  <r>
    <x v="0"/>
    <x v="0"/>
    <x v="386"/>
    <x v="2"/>
    <x v="0"/>
    <x v="0"/>
    <x v="388"/>
  </r>
  <r>
    <x v="0"/>
    <x v="0"/>
    <x v="387"/>
    <x v="2"/>
    <x v="0"/>
    <x v="0"/>
    <x v="389"/>
  </r>
  <r>
    <x v="0"/>
    <x v="0"/>
    <x v="388"/>
    <x v="2"/>
    <x v="0"/>
    <x v="0"/>
    <x v="390"/>
  </r>
  <r>
    <x v="0"/>
    <x v="0"/>
    <x v="389"/>
    <x v="2"/>
    <x v="0"/>
    <x v="0"/>
    <x v="391"/>
  </r>
  <r>
    <x v="0"/>
    <x v="0"/>
    <x v="390"/>
    <x v="2"/>
    <x v="0"/>
    <x v="0"/>
    <x v="392"/>
  </r>
  <r>
    <x v="0"/>
    <x v="0"/>
    <x v="391"/>
    <x v="2"/>
    <x v="0"/>
    <x v="0"/>
    <x v="393"/>
  </r>
  <r>
    <x v="0"/>
    <x v="0"/>
    <x v="392"/>
    <x v="2"/>
    <x v="0"/>
    <x v="0"/>
    <x v="394"/>
  </r>
  <r>
    <x v="0"/>
    <x v="0"/>
    <x v="393"/>
    <x v="2"/>
    <x v="0"/>
    <x v="0"/>
    <x v="395"/>
  </r>
  <r>
    <x v="0"/>
    <x v="0"/>
    <x v="394"/>
    <x v="2"/>
    <x v="0"/>
    <x v="0"/>
    <x v="396"/>
  </r>
  <r>
    <x v="0"/>
    <x v="0"/>
    <x v="395"/>
    <x v="2"/>
    <x v="0"/>
    <x v="0"/>
    <x v="397"/>
  </r>
  <r>
    <x v="0"/>
    <x v="0"/>
    <x v="396"/>
    <x v="2"/>
    <x v="0"/>
    <x v="0"/>
    <x v="398"/>
  </r>
  <r>
    <x v="0"/>
    <x v="0"/>
    <x v="397"/>
    <x v="2"/>
    <x v="0"/>
    <x v="0"/>
    <x v="399"/>
  </r>
  <r>
    <x v="0"/>
    <x v="0"/>
    <x v="398"/>
    <x v="2"/>
    <x v="0"/>
    <x v="0"/>
    <x v="400"/>
  </r>
  <r>
    <x v="0"/>
    <x v="0"/>
    <x v="399"/>
    <x v="2"/>
    <x v="0"/>
    <x v="0"/>
    <x v="401"/>
  </r>
  <r>
    <x v="0"/>
    <x v="0"/>
    <x v="400"/>
    <x v="2"/>
    <x v="0"/>
    <x v="0"/>
    <x v="402"/>
  </r>
  <r>
    <x v="0"/>
    <x v="0"/>
    <x v="401"/>
    <x v="0"/>
    <x v="0"/>
    <x v="0"/>
    <x v="403"/>
  </r>
  <r>
    <x v="0"/>
    <x v="0"/>
    <x v="402"/>
    <x v="2"/>
    <x v="0"/>
    <x v="0"/>
    <x v="404"/>
  </r>
  <r>
    <x v="0"/>
    <x v="0"/>
    <x v="403"/>
    <x v="2"/>
    <x v="0"/>
    <x v="0"/>
    <x v="405"/>
  </r>
  <r>
    <x v="0"/>
    <x v="0"/>
    <x v="404"/>
    <x v="2"/>
    <x v="0"/>
    <x v="0"/>
    <x v="406"/>
  </r>
  <r>
    <x v="0"/>
    <x v="0"/>
    <x v="405"/>
    <x v="2"/>
    <x v="0"/>
    <x v="0"/>
    <x v="407"/>
  </r>
  <r>
    <x v="0"/>
    <x v="0"/>
    <x v="406"/>
    <x v="2"/>
    <x v="0"/>
    <x v="0"/>
    <x v="408"/>
  </r>
  <r>
    <x v="0"/>
    <x v="0"/>
    <x v="407"/>
    <x v="2"/>
    <x v="0"/>
    <x v="0"/>
    <x v="409"/>
  </r>
  <r>
    <x v="0"/>
    <x v="0"/>
    <x v="408"/>
    <x v="2"/>
    <x v="0"/>
    <x v="0"/>
    <x v="410"/>
  </r>
  <r>
    <x v="0"/>
    <x v="0"/>
    <x v="409"/>
    <x v="2"/>
    <x v="0"/>
    <x v="0"/>
    <x v="411"/>
  </r>
  <r>
    <x v="0"/>
    <x v="0"/>
    <x v="410"/>
    <x v="2"/>
    <x v="0"/>
    <x v="0"/>
    <x v="412"/>
  </r>
  <r>
    <x v="0"/>
    <x v="0"/>
    <x v="411"/>
    <x v="2"/>
    <x v="0"/>
    <x v="0"/>
    <x v="413"/>
  </r>
  <r>
    <x v="0"/>
    <x v="0"/>
    <x v="412"/>
    <x v="2"/>
    <x v="0"/>
    <x v="0"/>
    <x v="414"/>
  </r>
  <r>
    <x v="0"/>
    <x v="0"/>
    <x v="413"/>
    <x v="2"/>
    <x v="0"/>
    <x v="0"/>
    <x v="415"/>
  </r>
  <r>
    <x v="0"/>
    <x v="0"/>
    <x v="414"/>
    <x v="2"/>
    <x v="0"/>
    <x v="0"/>
    <x v="416"/>
  </r>
  <r>
    <x v="0"/>
    <x v="0"/>
    <x v="415"/>
    <x v="1"/>
    <x v="0"/>
    <x v="0"/>
    <x v="417"/>
  </r>
  <r>
    <x v="0"/>
    <x v="0"/>
    <x v="416"/>
    <x v="2"/>
    <x v="0"/>
    <x v="0"/>
    <x v="418"/>
  </r>
  <r>
    <x v="0"/>
    <x v="0"/>
    <x v="417"/>
    <x v="2"/>
    <x v="0"/>
    <x v="0"/>
    <x v="419"/>
  </r>
  <r>
    <x v="0"/>
    <x v="0"/>
    <x v="418"/>
    <x v="2"/>
    <x v="0"/>
    <x v="0"/>
    <x v="420"/>
  </r>
  <r>
    <x v="0"/>
    <x v="0"/>
    <x v="419"/>
    <x v="2"/>
    <x v="0"/>
    <x v="0"/>
    <x v="421"/>
  </r>
  <r>
    <x v="0"/>
    <x v="0"/>
    <x v="420"/>
    <x v="2"/>
    <x v="0"/>
    <x v="0"/>
    <x v="422"/>
  </r>
  <r>
    <x v="0"/>
    <x v="0"/>
    <x v="421"/>
    <x v="2"/>
    <x v="0"/>
    <x v="0"/>
    <x v="423"/>
  </r>
  <r>
    <x v="0"/>
    <x v="0"/>
    <x v="422"/>
    <x v="2"/>
    <x v="0"/>
    <x v="0"/>
    <x v="424"/>
  </r>
  <r>
    <x v="0"/>
    <x v="0"/>
    <x v="423"/>
    <x v="0"/>
    <x v="0"/>
    <x v="0"/>
    <x v="361"/>
  </r>
  <r>
    <x v="0"/>
    <x v="0"/>
    <x v="424"/>
    <x v="2"/>
    <x v="0"/>
    <x v="0"/>
    <x v="425"/>
  </r>
  <r>
    <x v="0"/>
    <x v="0"/>
    <x v="425"/>
    <x v="2"/>
    <x v="0"/>
    <x v="0"/>
    <x v="426"/>
  </r>
  <r>
    <x v="0"/>
    <x v="0"/>
    <x v="426"/>
    <x v="2"/>
    <x v="0"/>
    <x v="0"/>
    <x v="427"/>
  </r>
  <r>
    <x v="0"/>
    <x v="0"/>
    <x v="427"/>
    <x v="2"/>
    <x v="0"/>
    <x v="0"/>
    <x v="428"/>
  </r>
  <r>
    <x v="0"/>
    <x v="0"/>
    <x v="428"/>
    <x v="2"/>
    <x v="0"/>
    <x v="0"/>
    <x v="429"/>
  </r>
  <r>
    <x v="0"/>
    <x v="0"/>
    <x v="429"/>
    <x v="2"/>
    <x v="0"/>
    <x v="0"/>
    <x v="430"/>
  </r>
  <r>
    <x v="0"/>
    <x v="0"/>
    <x v="430"/>
    <x v="2"/>
    <x v="0"/>
    <x v="0"/>
    <x v="431"/>
  </r>
  <r>
    <x v="0"/>
    <x v="0"/>
    <x v="431"/>
    <x v="2"/>
    <x v="0"/>
    <x v="0"/>
    <x v="432"/>
  </r>
  <r>
    <x v="0"/>
    <x v="0"/>
    <x v="432"/>
    <x v="2"/>
    <x v="0"/>
    <x v="0"/>
    <x v="433"/>
  </r>
  <r>
    <x v="0"/>
    <x v="0"/>
    <x v="433"/>
    <x v="2"/>
    <x v="0"/>
    <x v="0"/>
    <x v="434"/>
  </r>
  <r>
    <x v="0"/>
    <x v="0"/>
    <x v="434"/>
    <x v="2"/>
    <x v="0"/>
    <x v="0"/>
    <x v="435"/>
  </r>
  <r>
    <x v="0"/>
    <x v="0"/>
    <x v="435"/>
    <x v="2"/>
    <x v="0"/>
    <x v="0"/>
    <x v="436"/>
  </r>
  <r>
    <x v="0"/>
    <x v="0"/>
    <x v="436"/>
    <x v="2"/>
    <x v="0"/>
    <x v="0"/>
    <x v="437"/>
  </r>
  <r>
    <x v="0"/>
    <x v="0"/>
    <x v="437"/>
    <x v="2"/>
    <x v="0"/>
    <x v="0"/>
    <x v="438"/>
  </r>
  <r>
    <x v="0"/>
    <x v="0"/>
    <x v="438"/>
    <x v="0"/>
    <x v="0"/>
    <x v="0"/>
    <x v="439"/>
  </r>
  <r>
    <x v="0"/>
    <x v="0"/>
    <x v="439"/>
    <x v="2"/>
    <x v="0"/>
    <x v="0"/>
    <x v="440"/>
  </r>
  <r>
    <x v="0"/>
    <x v="0"/>
    <x v="440"/>
    <x v="2"/>
    <x v="0"/>
    <x v="0"/>
    <x v="441"/>
  </r>
  <r>
    <x v="0"/>
    <x v="0"/>
    <x v="441"/>
    <x v="2"/>
    <x v="0"/>
    <x v="0"/>
    <x v="442"/>
  </r>
  <r>
    <x v="0"/>
    <x v="0"/>
    <x v="442"/>
    <x v="2"/>
    <x v="0"/>
    <x v="0"/>
    <x v="443"/>
  </r>
  <r>
    <x v="0"/>
    <x v="0"/>
    <x v="443"/>
    <x v="2"/>
    <x v="0"/>
    <x v="0"/>
    <x v="444"/>
  </r>
  <r>
    <x v="0"/>
    <x v="0"/>
    <x v="444"/>
    <x v="2"/>
    <x v="0"/>
    <x v="0"/>
    <x v="445"/>
  </r>
  <r>
    <x v="0"/>
    <x v="0"/>
    <x v="445"/>
    <x v="2"/>
    <x v="0"/>
    <x v="0"/>
    <x v="446"/>
  </r>
  <r>
    <x v="0"/>
    <x v="0"/>
    <x v="446"/>
    <x v="2"/>
    <x v="0"/>
    <x v="0"/>
    <x v="346"/>
  </r>
  <r>
    <x v="0"/>
    <x v="0"/>
    <x v="447"/>
    <x v="2"/>
    <x v="0"/>
    <x v="0"/>
    <x v="447"/>
  </r>
  <r>
    <x v="0"/>
    <x v="0"/>
    <x v="448"/>
    <x v="2"/>
    <x v="0"/>
    <x v="0"/>
    <x v="448"/>
  </r>
  <r>
    <x v="0"/>
    <x v="0"/>
    <x v="449"/>
    <x v="2"/>
    <x v="0"/>
    <x v="0"/>
    <x v="449"/>
  </r>
  <r>
    <x v="0"/>
    <x v="0"/>
    <x v="450"/>
    <x v="2"/>
    <x v="0"/>
    <x v="0"/>
    <x v="450"/>
  </r>
  <r>
    <x v="0"/>
    <x v="0"/>
    <x v="451"/>
    <x v="2"/>
    <x v="0"/>
    <x v="0"/>
    <x v="451"/>
  </r>
  <r>
    <x v="0"/>
    <x v="0"/>
    <x v="452"/>
    <x v="2"/>
    <x v="0"/>
    <x v="0"/>
    <x v="452"/>
  </r>
  <r>
    <x v="0"/>
    <x v="0"/>
    <x v="453"/>
    <x v="2"/>
    <x v="0"/>
    <x v="0"/>
    <x v="453"/>
  </r>
  <r>
    <x v="0"/>
    <x v="0"/>
    <x v="454"/>
    <x v="2"/>
    <x v="0"/>
    <x v="0"/>
    <x v="454"/>
  </r>
  <r>
    <x v="0"/>
    <x v="0"/>
    <x v="455"/>
    <x v="2"/>
    <x v="0"/>
    <x v="0"/>
    <x v="455"/>
  </r>
  <r>
    <x v="0"/>
    <x v="0"/>
    <x v="456"/>
    <x v="0"/>
    <x v="0"/>
    <x v="0"/>
    <x v="456"/>
  </r>
  <r>
    <x v="0"/>
    <x v="0"/>
    <x v="457"/>
    <x v="2"/>
    <x v="0"/>
    <x v="0"/>
    <x v="457"/>
  </r>
  <r>
    <x v="0"/>
    <x v="0"/>
    <x v="458"/>
    <x v="2"/>
    <x v="0"/>
    <x v="0"/>
    <x v="458"/>
  </r>
  <r>
    <x v="0"/>
    <x v="0"/>
    <x v="459"/>
    <x v="2"/>
    <x v="0"/>
    <x v="0"/>
    <x v="459"/>
  </r>
  <r>
    <x v="0"/>
    <x v="0"/>
    <x v="460"/>
    <x v="2"/>
    <x v="0"/>
    <x v="0"/>
    <x v="460"/>
  </r>
  <r>
    <x v="0"/>
    <x v="0"/>
    <x v="461"/>
    <x v="2"/>
    <x v="0"/>
    <x v="0"/>
    <x v="461"/>
  </r>
  <r>
    <x v="0"/>
    <x v="0"/>
    <x v="462"/>
    <x v="2"/>
    <x v="0"/>
    <x v="0"/>
    <x v="462"/>
  </r>
  <r>
    <x v="0"/>
    <x v="0"/>
    <x v="463"/>
    <x v="2"/>
    <x v="0"/>
    <x v="0"/>
    <x v="450"/>
  </r>
  <r>
    <x v="0"/>
    <x v="0"/>
    <x v="464"/>
    <x v="2"/>
    <x v="0"/>
    <x v="0"/>
    <x v="463"/>
  </r>
  <r>
    <x v="0"/>
    <x v="0"/>
    <x v="465"/>
    <x v="2"/>
    <x v="0"/>
    <x v="0"/>
    <x v="464"/>
  </r>
  <r>
    <x v="0"/>
    <x v="0"/>
    <x v="466"/>
    <x v="2"/>
    <x v="0"/>
    <x v="0"/>
    <x v="465"/>
  </r>
  <r>
    <x v="0"/>
    <x v="0"/>
    <x v="467"/>
    <x v="2"/>
    <x v="0"/>
    <x v="0"/>
    <x v="466"/>
  </r>
  <r>
    <x v="0"/>
    <x v="0"/>
    <x v="468"/>
    <x v="2"/>
    <x v="0"/>
    <x v="0"/>
    <x v="467"/>
  </r>
  <r>
    <x v="0"/>
    <x v="0"/>
    <x v="469"/>
    <x v="2"/>
    <x v="0"/>
    <x v="0"/>
    <x v="468"/>
  </r>
  <r>
    <x v="0"/>
    <x v="0"/>
    <x v="470"/>
    <x v="2"/>
    <x v="0"/>
    <x v="0"/>
    <x v="469"/>
  </r>
  <r>
    <x v="0"/>
    <x v="0"/>
    <x v="471"/>
    <x v="0"/>
    <x v="0"/>
    <x v="0"/>
    <x v="470"/>
  </r>
  <r>
    <x v="0"/>
    <x v="0"/>
    <x v="472"/>
    <x v="2"/>
    <x v="0"/>
    <x v="0"/>
    <x v="471"/>
  </r>
  <r>
    <x v="0"/>
    <x v="0"/>
    <x v="473"/>
    <x v="2"/>
    <x v="0"/>
    <x v="0"/>
    <x v="472"/>
  </r>
  <r>
    <x v="0"/>
    <x v="0"/>
    <x v="474"/>
    <x v="2"/>
    <x v="0"/>
    <x v="0"/>
    <x v="473"/>
  </r>
  <r>
    <x v="0"/>
    <x v="0"/>
    <x v="475"/>
    <x v="2"/>
    <x v="0"/>
    <x v="0"/>
    <x v="474"/>
  </r>
  <r>
    <x v="0"/>
    <x v="0"/>
    <x v="476"/>
    <x v="2"/>
    <x v="0"/>
    <x v="0"/>
    <x v="475"/>
  </r>
  <r>
    <x v="0"/>
    <x v="0"/>
    <x v="477"/>
    <x v="2"/>
    <x v="0"/>
    <x v="0"/>
    <x v="476"/>
  </r>
  <r>
    <x v="0"/>
    <x v="0"/>
    <x v="478"/>
    <x v="2"/>
    <x v="0"/>
    <x v="0"/>
    <x v="477"/>
  </r>
  <r>
    <x v="0"/>
    <x v="0"/>
    <x v="479"/>
    <x v="2"/>
    <x v="0"/>
    <x v="0"/>
    <x v="478"/>
  </r>
  <r>
    <x v="0"/>
    <x v="0"/>
    <x v="480"/>
    <x v="2"/>
    <x v="0"/>
    <x v="0"/>
    <x v="479"/>
  </r>
  <r>
    <x v="0"/>
    <x v="0"/>
    <x v="481"/>
    <x v="2"/>
    <x v="0"/>
    <x v="0"/>
    <x v="480"/>
  </r>
  <r>
    <x v="0"/>
    <x v="0"/>
    <x v="482"/>
    <x v="2"/>
    <x v="0"/>
    <x v="0"/>
    <x v="481"/>
  </r>
  <r>
    <x v="0"/>
    <x v="0"/>
    <x v="483"/>
    <x v="2"/>
    <x v="0"/>
    <x v="0"/>
    <x v="482"/>
  </r>
  <r>
    <x v="0"/>
    <x v="0"/>
    <x v="484"/>
    <x v="2"/>
    <x v="0"/>
    <x v="0"/>
    <x v="483"/>
  </r>
  <r>
    <x v="0"/>
    <x v="0"/>
    <x v="485"/>
    <x v="2"/>
    <x v="0"/>
    <x v="0"/>
    <x v="484"/>
  </r>
  <r>
    <x v="0"/>
    <x v="0"/>
    <x v="486"/>
    <x v="0"/>
    <x v="0"/>
    <x v="0"/>
    <x v="485"/>
  </r>
  <r>
    <x v="0"/>
    <x v="0"/>
    <x v="487"/>
    <x v="2"/>
    <x v="0"/>
    <x v="0"/>
    <x v="328"/>
  </r>
  <r>
    <x v="0"/>
    <x v="0"/>
    <x v="488"/>
    <x v="2"/>
    <x v="0"/>
    <x v="0"/>
    <x v="486"/>
  </r>
  <r>
    <x v="0"/>
    <x v="0"/>
    <x v="489"/>
    <x v="2"/>
    <x v="0"/>
    <x v="0"/>
    <x v="487"/>
  </r>
  <r>
    <x v="0"/>
    <x v="0"/>
    <x v="490"/>
    <x v="2"/>
    <x v="0"/>
    <x v="0"/>
    <x v="488"/>
  </r>
  <r>
    <x v="0"/>
    <x v="0"/>
    <x v="491"/>
    <x v="1"/>
    <x v="0"/>
    <x v="0"/>
    <x v="489"/>
  </r>
  <r>
    <x v="0"/>
    <x v="0"/>
    <x v="491"/>
    <x v="2"/>
    <x v="0"/>
    <x v="0"/>
    <x v="490"/>
  </r>
  <r>
    <x v="0"/>
    <x v="0"/>
    <x v="492"/>
    <x v="2"/>
    <x v="0"/>
    <x v="0"/>
    <x v="491"/>
  </r>
  <r>
    <x v="0"/>
    <x v="0"/>
    <x v="493"/>
    <x v="2"/>
    <x v="0"/>
    <x v="0"/>
    <x v="492"/>
  </r>
  <r>
    <x v="0"/>
    <x v="0"/>
    <x v="494"/>
    <x v="2"/>
    <x v="0"/>
    <x v="0"/>
    <x v="493"/>
  </r>
  <r>
    <x v="0"/>
    <x v="0"/>
    <x v="495"/>
    <x v="2"/>
    <x v="0"/>
    <x v="0"/>
    <x v="494"/>
  </r>
  <r>
    <x v="0"/>
    <x v="0"/>
    <x v="496"/>
    <x v="2"/>
    <x v="0"/>
    <x v="0"/>
    <x v="495"/>
  </r>
  <r>
    <x v="0"/>
    <x v="0"/>
    <x v="497"/>
    <x v="2"/>
    <x v="0"/>
    <x v="0"/>
    <x v="496"/>
  </r>
  <r>
    <x v="0"/>
    <x v="0"/>
    <x v="498"/>
    <x v="2"/>
    <x v="0"/>
    <x v="0"/>
    <x v="497"/>
  </r>
  <r>
    <x v="0"/>
    <x v="0"/>
    <x v="499"/>
    <x v="2"/>
    <x v="0"/>
    <x v="0"/>
    <x v="498"/>
  </r>
  <r>
    <x v="0"/>
    <x v="0"/>
    <x v="500"/>
    <x v="2"/>
    <x v="0"/>
    <x v="0"/>
    <x v="499"/>
  </r>
  <r>
    <x v="0"/>
    <x v="0"/>
    <x v="501"/>
    <x v="2"/>
    <x v="0"/>
    <x v="0"/>
    <x v="500"/>
  </r>
  <r>
    <x v="0"/>
    <x v="0"/>
    <x v="502"/>
    <x v="2"/>
    <x v="0"/>
    <x v="0"/>
    <x v="501"/>
  </r>
  <r>
    <x v="0"/>
    <x v="0"/>
    <x v="503"/>
    <x v="2"/>
    <x v="0"/>
    <x v="0"/>
    <x v="502"/>
  </r>
  <r>
    <x v="0"/>
    <x v="0"/>
    <x v="504"/>
    <x v="2"/>
    <x v="0"/>
    <x v="0"/>
    <x v="503"/>
  </r>
  <r>
    <x v="0"/>
    <x v="0"/>
    <x v="505"/>
    <x v="2"/>
    <x v="0"/>
    <x v="0"/>
    <x v="504"/>
  </r>
  <r>
    <x v="0"/>
    <x v="0"/>
    <x v="506"/>
    <x v="2"/>
    <x v="0"/>
    <x v="0"/>
    <x v="505"/>
  </r>
  <r>
    <x v="0"/>
    <x v="0"/>
    <x v="507"/>
    <x v="2"/>
    <x v="0"/>
    <x v="0"/>
    <x v="506"/>
  </r>
  <r>
    <x v="0"/>
    <x v="0"/>
    <x v="508"/>
    <x v="2"/>
    <x v="0"/>
    <x v="0"/>
    <x v="507"/>
  </r>
  <r>
    <x v="0"/>
    <x v="0"/>
    <x v="509"/>
    <x v="2"/>
    <x v="0"/>
    <x v="0"/>
    <x v="508"/>
  </r>
  <r>
    <x v="0"/>
    <x v="0"/>
    <x v="510"/>
    <x v="2"/>
    <x v="0"/>
    <x v="0"/>
    <x v="509"/>
  </r>
  <r>
    <x v="0"/>
    <x v="0"/>
    <x v="511"/>
    <x v="2"/>
    <x v="0"/>
    <x v="0"/>
    <x v="510"/>
  </r>
  <r>
    <x v="0"/>
    <x v="0"/>
    <x v="512"/>
    <x v="2"/>
    <x v="0"/>
    <x v="0"/>
    <x v="511"/>
  </r>
  <r>
    <x v="0"/>
    <x v="0"/>
    <x v="513"/>
    <x v="2"/>
    <x v="0"/>
    <x v="0"/>
    <x v="512"/>
  </r>
  <r>
    <x v="0"/>
    <x v="0"/>
    <x v="513"/>
    <x v="0"/>
    <x v="0"/>
    <x v="0"/>
    <x v="513"/>
  </r>
  <r>
    <x v="0"/>
    <x v="0"/>
    <x v="514"/>
    <x v="2"/>
    <x v="0"/>
    <x v="0"/>
    <x v="514"/>
  </r>
  <r>
    <x v="0"/>
    <x v="0"/>
    <x v="515"/>
    <x v="2"/>
    <x v="0"/>
    <x v="0"/>
    <x v="515"/>
  </r>
  <r>
    <x v="0"/>
    <x v="0"/>
    <x v="516"/>
    <x v="2"/>
    <x v="0"/>
    <x v="0"/>
    <x v="516"/>
  </r>
  <r>
    <x v="0"/>
    <x v="0"/>
    <x v="517"/>
    <x v="2"/>
    <x v="0"/>
    <x v="0"/>
    <x v="517"/>
  </r>
  <r>
    <x v="0"/>
    <x v="0"/>
    <x v="518"/>
    <x v="2"/>
    <x v="0"/>
    <x v="0"/>
    <x v="518"/>
  </r>
  <r>
    <x v="0"/>
    <x v="0"/>
    <x v="519"/>
    <x v="0"/>
    <x v="0"/>
    <x v="0"/>
    <x v="519"/>
  </r>
  <r>
    <x v="0"/>
    <x v="0"/>
    <x v="520"/>
    <x v="2"/>
    <x v="0"/>
    <x v="0"/>
    <x v="520"/>
  </r>
  <r>
    <x v="0"/>
    <x v="0"/>
    <x v="521"/>
    <x v="2"/>
    <x v="0"/>
    <x v="0"/>
    <x v="521"/>
  </r>
  <r>
    <x v="0"/>
    <x v="0"/>
    <x v="522"/>
    <x v="2"/>
    <x v="0"/>
    <x v="0"/>
    <x v="522"/>
  </r>
  <r>
    <x v="0"/>
    <x v="0"/>
    <x v="523"/>
    <x v="2"/>
    <x v="0"/>
    <x v="0"/>
    <x v="523"/>
  </r>
  <r>
    <x v="0"/>
    <x v="0"/>
    <x v="524"/>
    <x v="2"/>
    <x v="0"/>
    <x v="0"/>
    <x v="524"/>
  </r>
  <r>
    <x v="0"/>
    <x v="0"/>
    <x v="525"/>
    <x v="2"/>
    <x v="0"/>
    <x v="0"/>
    <x v="525"/>
  </r>
  <r>
    <x v="0"/>
    <x v="0"/>
    <x v="526"/>
    <x v="2"/>
    <x v="0"/>
    <x v="0"/>
    <x v="526"/>
  </r>
  <r>
    <x v="0"/>
    <x v="0"/>
    <x v="527"/>
    <x v="2"/>
    <x v="0"/>
    <x v="0"/>
    <x v="527"/>
  </r>
  <r>
    <x v="0"/>
    <x v="0"/>
    <x v="528"/>
    <x v="2"/>
    <x v="0"/>
    <x v="0"/>
    <x v="528"/>
  </r>
  <r>
    <x v="0"/>
    <x v="0"/>
    <x v="529"/>
    <x v="2"/>
    <x v="0"/>
    <x v="0"/>
    <x v="529"/>
  </r>
  <r>
    <x v="0"/>
    <x v="0"/>
    <x v="530"/>
    <x v="2"/>
    <x v="0"/>
    <x v="0"/>
    <x v="530"/>
  </r>
  <r>
    <x v="0"/>
    <x v="0"/>
    <x v="531"/>
    <x v="2"/>
    <x v="0"/>
    <x v="0"/>
    <x v="531"/>
  </r>
  <r>
    <x v="0"/>
    <x v="0"/>
    <x v="532"/>
    <x v="0"/>
    <x v="0"/>
    <x v="0"/>
    <x v="532"/>
  </r>
  <r>
    <x v="0"/>
    <x v="0"/>
    <x v="533"/>
    <x v="2"/>
    <x v="0"/>
    <x v="0"/>
    <x v="533"/>
  </r>
  <r>
    <x v="0"/>
    <x v="0"/>
    <x v="534"/>
    <x v="2"/>
    <x v="0"/>
    <x v="0"/>
    <x v="534"/>
  </r>
  <r>
    <x v="0"/>
    <x v="0"/>
    <x v="535"/>
    <x v="2"/>
    <x v="0"/>
    <x v="0"/>
    <x v="535"/>
  </r>
  <r>
    <x v="0"/>
    <x v="0"/>
    <x v="536"/>
    <x v="2"/>
    <x v="0"/>
    <x v="0"/>
    <x v="536"/>
  </r>
  <r>
    <x v="0"/>
    <x v="0"/>
    <x v="537"/>
    <x v="2"/>
    <x v="0"/>
    <x v="0"/>
    <x v="537"/>
  </r>
  <r>
    <x v="0"/>
    <x v="0"/>
    <x v="538"/>
    <x v="2"/>
    <x v="0"/>
    <x v="0"/>
    <x v="538"/>
  </r>
  <r>
    <x v="0"/>
    <x v="0"/>
    <x v="539"/>
    <x v="2"/>
    <x v="0"/>
    <x v="0"/>
    <x v="5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5" cacheId="21" dataOnRows="1" applyNumberFormats="0" applyBorderFormats="0" applyFontFormats="0" applyPatternFormats="0" applyAlignmentFormats="0" applyWidthHeightFormats="1" dataCaption="Data" updatedVersion="7" minRefreshableVersion="3" showDrill="0" showMemberPropertyTips="0" rowGrandTotals="0" itemPrintTitles="1" createdVersion="4" indent="0" compact="0" compactData="0" gridDropZones="1">
  <location ref="A11:M564" firstHeaderRow="2" firstDataRow="2" firstDataCol="7"/>
  <pivotFields count="7">
    <pivotField axis="axisRow" compact="0" outline="0" subtotalTop="0" showAll="0" includeNewItemsInFilter="1" defaultSubtotal="0">
      <items count="1">
        <item x="0"/>
      </items>
    </pivotField>
    <pivotField axis="axisRow" compact="0" outline="0" subtotalTop="0" showAll="0" includeNewItemsInFilter="1" defaultSubtotal="0">
      <items count="1">
        <item x="0"/>
      </items>
    </pivotField>
    <pivotField axis="axisRow" compact="0" numFmtId="170" outline="0" showAll="0" defaultSubtotal="0">
      <items count="5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</items>
    </pivotField>
    <pivotField axis="axisRow" compact="0" outline="0" subtotalTop="0" showAll="0" includeNewItemsInFilter="1" defaultSubtotal="0">
      <items count="3">
        <item x="0"/>
        <item x="1"/>
        <item x="2"/>
      </items>
    </pivotField>
    <pivotField axis="axisRow" compact="0" outline="0" subtotalTop="0" showAll="0" includeNewItemsInFilter="1" defaultSubtotal="0">
      <items count="1">
        <item x="0"/>
      </items>
    </pivotField>
    <pivotField axis="axisRow" compact="0" outline="0" subtotalTop="0" showAll="0" includeNewItemsInFilter="1" defaultSubtotal="0">
      <items count="1">
        <item x="0"/>
      </items>
    </pivotField>
    <pivotField axis="axisRow" compact="0" outline="0" subtotalTop="0" showAll="0" includeNewItemsInFilter="1" defaultSubtotal="0">
      <items count="5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</items>
    </pivotField>
  </pivotFields>
  <rowFields count="7">
    <field x="0"/>
    <field x="1"/>
    <field x="2"/>
    <field x="3"/>
    <field x="4"/>
    <field x="5"/>
    <field x="6"/>
  </rowFields>
  <rowItems count="552">
    <i>
      <x/>
      <x/>
      <x/>
      <x/>
      <x/>
      <x/>
      <x/>
    </i>
    <i r="3">
      <x v="1"/>
      <x/>
      <x/>
      <x v="1"/>
    </i>
    <i r="3">
      <x v="2"/>
      <x/>
      <x/>
      <x v="2"/>
    </i>
    <i r="2">
      <x v="1"/>
      <x/>
      <x/>
      <x/>
      <x/>
    </i>
    <i r="2">
      <x v="2"/>
      <x v="1"/>
      <x/>
      <x/>
      <x v="1"/>
    </i>
    <i r="3">
      <x v="2"/>
      <x/>
      <x/>
      <x v="3"/>
    </i>
    <i r="2">
      <x v="3"/>
      <x/>
      <x/>
      <x/>
      <x/>
    </i>
    <i r="3">
      <x v="1"/>
      <x/>
      <x/>
      <x v="1"/>
    </i>
    <i r="3">
      <x v="2"/>
      <x/>
      <x/>
      <x v="4"/>
    </i>
    <i r="2">
      <x v="4"/>
      <x v="2"/>
      <x/>
      <x/>
      <x v="5"/>
    </i>
    <i r="2">
      <x v="5"/>
      <x v="2"/>
      <x/>
      <x/>
      <x v="6"/>
    </i>
    <i r="2">
      <x v="6"/>
      <x v="2"/>
      <x/>
      <x/>
      <x v="7"/>
    </i>
    <i r="2">
      <x v="7"/>
      <x v="2"/>
      <x/>
      <x/>
      <x v="8"/>
    </i>
    <i r="2">
      <x v="8"/>
      <x v="2"/>
      <x/>
      <x/>
      <x v="9"/>
    </i>
    <i r="2">
      <x v="9"/>
      <x v="2"/>
      <x/>
      <x/>
      <x v="10"/>
    </i>
    <i r="2">
      <x v="10"/>
      <x v="2"/>
      <x/>
      <x/>
      <x v="11"/>
    </i>
    <i r="2">
      <x v="11"/>
      <x v="2"/>
      <x/>
      <x/>
      <x v="12"/>
    </i>
    <i r="2">
      <x v="12"/>
      <x v="2"/>
      <x/>
      <x/>
      <x v="13"/>
    </i>
    <i r="2">
      <x v="13"/>
      <x v="2"/>
      <x/>
      <x/>
      <x v="14"/>
    </i>
    <i r="2">
      <x v="14"/>
      <x v="2"/>
      <x/>
      <x/>
      <x v="15"/>
    </i>
    <i r="2">
      <x v="15"/>
      <x v="2"/>
      <x/>
      <x/>
      <x v="16"/>
    </i>
    <i r="2">
      <x v="16"/>
      <x v="2"/>
      <x/>
      <x/>
      <x v="17"/>
    </i>
    <i r="2">
      <x v="17"/>
      <x v="2"/>
      <x/>
      <x/>
      <x v="18"/>
    </i>
    <i r="2">
      <x v="18"/>
      <x v="2"/>
      <x/>
      <x/>
      <x v="19"/>
    </i>
    <i r="2">
      <x v="19"/>
      <x v="2"/>
      <x/>
      <x/>
      <x v="20"/>
    </i>
    <i r="2">
      <x v="20"/>
      <x v="2"/>
      <x/>
      <x/>
      <x v="21"/>
    </i>
    <i r="2">
      <x v="21"/>
      <x v="2"/>
      <x/>
      <x/>
      <x v="22"/>
    </i>
    <i r="2">
      <x v="22"/>
      <x v="2"/>
      <x/>
      <x/>
      <x v="23"/>
    </i>
    <i r="2">
      <x v="23"/>
      <x v="2"/>
      <x/>
      <x/>
      <x v="24"/>
    </i>
    <i r="2">
      <x v="24"/>
      <x v="2"/>
      <x/>
      <x/>
      <x v="25"/>
    </i>
    <i r="2">
      <x v="25"/>
      <x v="2"/>
      <x/>
      <x/>
      <x v="26"/>
    </i>
    <i r="2">
      <x v="26"/>
      <x v="2"/>
      <x/>
      <x/>
      <x v="27"/>
    </i>
    <i r="2">
      <x v="27"/>
      <x v="2"/>
      <x/>
      <x/>
      <x v="28"/>
    </i>
    <i r="2">
      <x v="28"/>
      <x/>
      <x/>
      <x/>
      <x v="29"/>
    </i>
    <i r="2">
      <x v="29"/>
      <x v="2"/>
      <x/>
      <x/>
      <x v="30"/>
    </i>
    <i r="2">
      <x v="30"/>
      <x v="2"/>
      <x/>
      <x/>
      <x v="31"/>
    </i>
    <i r="2">
      <x v="31"/>
      <x v="2"/>
      <x/>
      <x/>
      <x v="32"/>
    </i>
    <i r="2">
      <x v="32"/>
      <x v="2"/>
      <x/>
      <x/>
      <x v="33"/>
    </i>
    <i r="2">
      <x v="33"/>
      <x v="2"/>
      <x/>
      <x/>
      <x v="34"/>
    </i>
    <i r="2">
      <x v="34"/>
      <x v="2"/>
      <x/>
      <x/>
      <x v="35"/>
    </i>
    <i r="2">
      <x v="35"/>
      <x v="2"/>
      <x/>
      <x/>
      <x v="36"/>
    </i>
    <i r="2">
      <x v="36"/>
      <x v="2"/>
      <x/>
      <x/>
      <x v="37"/>
    </i>
    <i r="2">
      <x v="37"/>
      <x v="2"/>
      <x/>
      <x/>
      <x v="38"/>
    </i>
    <i r="2">
      <x v="38"/>
      <x v="2"/>
      <x/>
      <x/>
      <x v="39"/>
    </i>
    <i r="2">
      <x v="39"/>
      <x v="2"/>
      <x/>
      <x/>
      <x v="40"/>
    </i>
    <i r="2">
      <x v="40"/>
      <x v="2"/>
      <x/>
      <x/>
      <x v="41"/>
    </i>
    <i r="2">
      <x v="41"/>
      <x v="2"/>
      <x/>
      <x/>
      <x v="42"/>
    </i>
    <i r="2">
      <x v="42"/>
      <x v="2"/>
      <x/>
      <x/>
      <x v="43"/>
    </i>
    <i r="2">
      <x v="43"/>
      <x v="2"/>
      <x/>
      <x/>
      <x v="44"/>
    </i>
    <i r="2">
      <x v="44"/>
      <x v="2"/>
      <x/>
      <x/>
      <x v="45"/>
    </i>
    <i r="2">
      <x v="45"/>
      <x v="2"/>
      <x/>
      <x/>
      <x v="46"/>
    </i>
    <i r="2">
      <x v="46"/>
      <x v="2"/>
      <x/>
      <x/>
      <x v="47"/>
    </i>
    <i r="2">
      <x v="47"/>
      <x v="2"/>
      <x/>
      <x/>
      <x v="48"/>
    </i>
    <i r="2">
      <x v="48"/>
      <x v="2"/>
      <x/>
      <x/>
      <x v="49"/>
    </i>
    <i r="2">
      <x v="49"/>
      <x v="2"/>
      <x/>
      <x/>
      <x v="50"/>
    </i>
    <i r="2">
      <x v="50"/>
      <x/>
      <x/>
      <x/>
      <x v="51"/>
    </i>
    <i r="2">
      <x v="51"/>
      <x v="1"/>
      <x/>
      <x/>
      <x v="52"/>
    </i>
    <i r="3">
      <x v="2"/>
      <x/>
      <x/>
      <x v="53"/>
    </i>
    <i r="2">
      <x v="52"/>
      <x/>
      <x/>
      <x/>
      <x v="51"/>
    </i>
    <i r="3">
      <x v="1"/>
      <x/>
      <x/>
      <x v="54"/>
    </i>
    <i r="3">
      <x v="2"/>
      <x/>
      <x/>
      <x v="55"/>
    </i>
    <i r="2">
      <x v="53"/>
      <x v="2"/>
      <x/>
      <x/>
      <x v="56"/>
    </i>
    <i r="2">
      <x v="54"/>
      <x v="2"/>
      <x/>
      <x/>
      <x v="57"/>
    </i>
    <i r="2">
      <x v="55"/>
      <x v="2"/>
      <x/>
      <x/>
      <x v="58"/>
    </i>
    <i r="2">
      <x v="56"/>
      <x v="2"/>
      <x/>
      <x/>
      <x v="59"/>
    </i>
    <i r="2">
      <x v="57"/>
      <x v="2"/>
      <x/>
      <x/>
      <x v="60"/>
    </i>
    <i r="2">
      <x v="58"/>
      <x v="2"/>
      <x/>
      <x/>
      <x v="61"/>
    </i>
    <i r="2">
      <x v="59"/>
      <x v="2"/>
      <x/>
      <x/>
      <x v="62"/>
    </i>
    <i r="2">
      <x v="60"/>
      <x v="2"/>
      <x/>
      <x/>
      <x v="63"/>
    </i>
    <i r="2">
      <x v="61"/>
      <x v="2"/>
      <x/>
      <x/>
      <x v="64"/>
    </i>
    <i r="2">
      <x v="62"/>
      <x v="2"/>
      <x/>
      <x/>
      <x v="65"/>
    </i>
    <i r="2">
      <x v="63"/>
      <x v="2"/>
      <x/>
      <x/>
      <x v="66"/>
    </i>
    <i r="2">
      <x v="64"/>
      <x v="2"/>
      <x/>
      <x/>
      <x v="67"/>
    </i>
    <i r="2">
      <x v="65"/>
      <x/>
      <x/>
      <x/>
      <x v="68"/>
    </i>
    <i r="2">
      <x v="66"/>
      <x v="2"/>
      <x/>
      <x/>
      <x v="69"/>
    </i>
    <i r="2">
      <x v="67"/>
      <x v="2"/>
      <x/>
      <x/>
      <x v="70"/>
    </i>
    <i r="2">
      <x v="68"/>
      <x v="2"/>
      <x/>
      <x/>
      <x v="71"/>
    </i>
    <i r="2">
      <x v="69"/>
      <x v="2"/>
      <x/>
      <x/>
      <x v="72"/>
    </i>
    <i r="2">
      <x v="70"/>
      <x v="2"/>
      <x/>
      <x/>
      <x v="73"/>
    </i>
    <i r="2">
      <x v="71"/>
      <x v="2"/>
      <x/>
      <x/>
      <x v="74"/>
    </i>
    <i r="2">
      <x v="72"/>
      <x v="2"/>
      <x/>
      <x/>
      <x v="75"/>
    </i>
    <i r="2">
      <x v="73"/>
      <x v="2"/>
      <x/>
      <x/>
      <x v="76"/>
    </i>
    <i r="2">
      <x v="74"/>
      <x v="2"/>
      <x/>
      <x/>
      <x v="77"/>
    </i>
    <i r="2">
      <x v="75"/>
      <x v="2"/>
      <x/>
      <x/>
      <x v="78"/>
    </i>
    <i r="2">
      <x v="76"/>
      <x v="2"/>
      <x/>
      <x/>
      <x v="79"/>
    </i>
    <i r="2">
      <x v="77"/>
      <x v="2"/>
      <x/>
      <x/>
      <x v="80"/>
    </i>
    <i r="2">
      <x v="78"/>
      <x v="2"/>
      <x/>
      <x/>
      <x v="81"/>
    </i>
    <i r="2">
      <x v="79"/>
      <x v="2"/>
      <x/>
      <x/>
      <x v="82"/>
    </i>
    <i r="2">
      <x v="80"/>
      <x v="2"/>
      <x/>
      <x/>
      <x v="83"/>
    </i>
    <i r="2">
      <x v="81"/>
      <x v="2"/>
      <x/>
      <x/>
      <x v="84"/>
    </i>
    <i r="2">
      <x v="82"/>
      <x v="2"/>
      <x/>
      <x/>
      <x v="85"/>
    </i>
    <i r="2">
      <x v="83"/>
      <x v="2"/>
      <x/>
      <x/>
      <x v="86"/>
    </i>
    <i r="2">
      <x v="84"/>
      <x v="2"/>
      <x/>
      <x/>
      <x v="87"/>
    </i>
    <i r="2">
      <x v="85"/>
      <x v="2"/>
      <x/>
      <x/>
      <x v="88"/>
    </i>
    <i r="2">
      <x v="86"/>
      <x v="2"/>
      <x/>
      <x/>
      <x v="89"/>
    </i>
    <i r="2">
      <x v="87"/>
      <x v="2"/>
      <x/>
      <x/>
      <x v="90"/>
    </i>
    <i r="2">
      <x v="88"/>
      <x v="2"/>
      <x/>
      <x/>
      <x v="91"/>
    </i>
    <i r="2">
      <x v="89"/>
      <x v="2"/>
      <x/>
      <x/>
      <x v="92"/>
    </i>
    <i r="2">
      <x v="90"/>
      <x v="2"/>
      <x/>
      <x/>
      <x v="93"/>
    </i>
    <i r="2">
      <x v="91"/>
      <x v="2"/>
      <x/>
      <x/>
      <x v="94"/>
    </i>
    <i r="2">
      <x v="92"/>
      <x v="2"/>
      <x/>
      <x/>
      <x v="95"/>
    </i>
    <i r="2">
      <x v="93"/>
      <x v="2"/>
      <x/>
      <x/>
      <x v="96"/>
    </i>
    <i r="2">
      <x v="94"/>
      <x/>
      <x/>
      <x/>
      <x v="97"/>
    </i>
    <i r="2">
      <x v="95"/>
      <x v="2"/>
      <x/>
      <x/>
      <x v="98"/>
    </i>
    <i r="2">
      <x v="96"/>
      <x v="2"/>
      <x/>
      <x/>
      <x v="99"/>
    </i>
    <i r="2">
      <x v="97"/>
      <x v="2"/>
      <x/>
      <x/>
      <x v="100"/>
    </i>
    <i r="2">
      <x v="98"/>
      <x v="2"/>
      <x/>
      <x/>
      <x v="101"/>
    </i>
    <i r="2">
      <x v="99"/>
      <x v="2"/>
      <x/>
      <x/>
      <x v="102"/>
    </i>
    <i r="2">
      <x v="100"/>
      <x v="2"/>
      <x/>
      <x/>
      <x v="103"/>
    </i>
    <i r="2">
      <x v="101"/>
      <x v="2"/>
      <x/>
      <x/>
      <x v="104"/>
    </i>
    <i r="2">
      <x v="102"/>
      <x v="2"/>
      <x/>
      <x/>
      <x v="105"/>
    </i>
    <i r="2">
      <x v="103"/>
      <x v="2"/>
      <x/>
      <x/>
      <x v="106"/>
    </i>
    <i r="2">
      <x v="104"/>
      <x v="2"/>
      <x/>
      <x/>
      <x v="107"/>
    </i>
    <i r="2">
      <x v="105"/>
      <x v="2"/>
      <x/>
      <x/>
      <x v="108"/>
    </i>
    <i r="2">
      <x v="106"/>
      <x/>
      <x/>
      <x/>
      <x v="109"/>
    </i>
    <i r="2">
      <x v="107"/>
      <x v="2"/>
      <x/>
      <x/>
      <x v="110"/>
    </i>
    <i r="2">
      <x v="108"/>
      <x v="2"/>
      <x/>
      <x/>
      <x v="111"/>
    </i>
    <i r="2">
      <x v="109"/>
      <x v="2"/>
      <x/>
      <x/>
      <x v="112"/>
    </i>
    <i r="2">
      <x v="110"/>
      <x v="2"/>
      <x/>
      <x/>
      <x v="113"/>
    </i>
    <i r="2">
      <x v="111"/>
      <x v="2"/>
      <x/>
      <x/>
      <x v="114"/>
    </i>
    <i r="2">
      <x v="112"/>
      <x v="2"/>
      <x/>
      <x/>
      <x v="115"/>
    </i>
    <i r="2">
      <x v="113"/>
      <x v="2"/>
      <x/>
      <x/>
      <x v="116"/>
    </i>
    <i r="2">
      <x v="114"/>
      <x v="2"/>
      <x/>
      <x/>
      <x v="117"/>
    </i>
    <i r="2">
      <x v="115"/>
      <x v="2"/>
      <x/>
      <x/>
      <x v="118"/>
    </i>
    <i r="2">
      <x v="116"/>
      <x v="2"/>
      <x/>
      <x/>
      <x v="119"/>
    </i>
    <i r="2">
      <x v="117"/>
      <x v="2"/>
      <x/>
      <x/>
      <x v="120"/>
    </i>
    <i r="2">
      <x v="118"/>
      <x v="2"/>
      <x/>
      <x/>
      <x v="121"/>
    </i>
    <i r="2">
      <x v="119"/>
      <x v="2"/>
      <x/>
      <x/>
      <x v="122"/>
    </i>
    <i r="2">
      <x v="120"/>
      <x v="2"/>
      <x/>
      <x/>
      <x v="123"/>
    </i>
    <i r="2">
      <x v="121"/>
      <x v="2"/>
      <x/>
      <x/>
      <x v="124"/>
    </i>
    <i r="2">
      <x v="122"/>
      <x v="2"/>
      <x/>
      <x/>
      <x v="125"/>
    </i>
    <i r="2">
      <x v="123"/>
      <x v="2"/>
      <x/>
      <x/>
      <x v="126"/>
    </i>
    <i r="2">
      <x v="124"/>
      <x v="2"/>
      <x/>
      <x/>
      <x v="127"/>
    </i>
    <i r="2">
      <x v="125"/>
      <x v="2"/>
      <x/>
      <x/>
      <x v="128"/>
    </i>
    <i r="2">
      <x v="126"/>
      <x v="2"/>
      <x/>
      <x/>
      <x v="129"/>
    </i>
    <i r="2">
      <x v="127"/>
      <x v="2"/>
      <x/>
      <x/>
      <x v="130"/>
    </i>
    <i r="2">
      <x v="128"/>
      <x v="2"/>
      <x/>
      <x/>
      <x v="131"/>
    </i>
    <i r="2">
      <x v="129"/>
      <x v="2"/>
      <x/>
      <x/>
      <x v="132"/>
    </i>
    <i r="2">
      <x v="130"/>
      <x v="2"/>
      <x/>
      <x/>
      <x v="133"/>
    </i>
    <i r="2">
      <x v="131"/>
      <x v="2"/>
      <x/>
      <x/>
      <x v="134"/>
    </i>
    <i r="2">
      <x v="132"/>
      <x v="2"/>
      <x/>
      <x/>
      <x v="135"/>
    </i>
    <i r="2">
      <x v="133"/>
      <x v="2"/>
      <x/>
      <x/>
      <x v="136"/>
    </i>
    <i r="2">
      <x v="134"/>
      <x v="2"/>
      <x/>
      <x/>
      <x v="137"/>
    </i>
    <i r="2">
      <x v="135"/>
      <x v="2"/>
      <x/>
      <x/>
      <x v="138"/>
    </i>
    <i r="2">
      <x v="136"/>
      <x v="2"/>
      <x/>
      <x/>
      <x v="139"/>
    </i>
    <i r="2">
      <x v="137"/>
      <x v="2"/>
      <x/>
      <x/>
      <x v="140"/>
    </i>
    <i r="2">
      <x v="138"/>
      <x v="2"/>
      <x/>
      <x/>
      <x v="141"/>
    </i>
    <i r="2">
      <x v="139"/>
      <x v="2"/>
      <x/>
      <x/>
      <x v="142"/>
    </i>
    <i r="2">
      <x v="140"/>
      <x v="2"/>
      <x/>
      <x/>
      <x v="143"/>
    </i>
    <i r="2">
      <x v="141"/>
      <x v="2"/>
      <x/>
      <x/>
      <x v="144"/>
    </i>
    <i r="2">
      <x v="142"/>
      <x v="2"/>
      <x/>
      <x/>
      <x v="145"/>
    </i>
    <i r="2">
      <x v="143"/>
      <x v="2"/>
      <x/>
      <x/>
      <x v="146"/>
    </i>
    <i r="2">
      <x v="144"/>
      <x/>
      <x/>
      <x/>
      <x v="147"/>
    </i>
    <i r="2">
      <x v="145"/>
      <x v="2"/>
      <x/>
      <x/>
      <x v="148"/>
    </i>
    <i r="2">
      <x v="146"/>
      <x v="2"/>
      <x/>
      <x/>
      <x v="149"/>
    </i>
    <i r="2">
      <x v="147"/>
      <x v="2"/>
      <x/>
      <x/>
      <x v="150"/>
    </i>
    <i r="2">
      <x v="148"/>
      <x v="2"/>
      <x/>
      <x/>
      <x v="151"/>
    </i>
    <i r="2">
      <x v="149"/>
      <x v="2"/>
      <x/>
      <x/>
      <x v="152"/>
    </i>
    <i r="2">
      <x v="150"/>
      <x v="2"/>
      <x/>
      <x/>
      <x v="153"/>
    </i>
    <i r="2">
      <x v="151"/>
      <x v="2"/>
      <x/>
      <x/>
      <x v="154"/>
    </i>
    <i r="2">
      <x v="152"/>
      <x v="2"/>
      <x/>
      <x/>
      <x v="155"/>
    </i>
    <i r="2">
      <x v="153"/>
      <x v="2"/>
      <x/>
      <x/>
      <x v="156"/>
    </i>
    <i r="2">
      <x v="154"/>
      <x v="2"/>
      <x/>
      <x/>
      <x v="157"/>
    </i>
    <i r="2">
      <x v="155"/>
      <x v="2"/>
      <x/>
      <x/>
      <x v="158"/>
    </i>
    <i r="2">
      <x v="156"/>
      <x v="2"/>
      <x/>
      <x/>
      <x v="159"/>
    </i>
    <i r="2">
      <x v="157"/>
      <x v="2"/>
      <x/>
      <x/>
      <x v="160"/>
    </i>
    <i r="2">
      <x v="158"/>
      <x v="2"/>
      <x/>
      <x/>
      <x v="161"/>
    </i>
    <i r="2">
      <x v="159"/>
      <x v="2"/>
      <x/>
      <x/>
      <x v="162"/>
    </i>
    <i r="2">
      <x v="160"/>
      <x v="2"/>
      <x/>
      <x/>
      <x v="163"/>
    </i>
    <i r="2">
      <x v="161"/>
      <x v="2"/>
      <x/>
      <x/>
      <x v="164"/>
    </i>
    <i r="2">
      <x v="162"/>
      <x v="2"/>
      <x/>
      <x/>
      <x v="165"/>
    </i>
    <i r="2">
      <x v="163"/>
      <x v="2"/>
      <x/>
      <x/>
      <x v="166"/>
    </i>
    <i r="2">
      <x v="164"/>
      <x v="2"/>
      <x/>
      <x/>
      <x v="167"/>
    </i>
    <i r="2">
      <x v="165"/>
      <x v="2"/>
      <x/>
      <x/>
      <x v="168"/>
    </i>
    <i r="2">
      <x v="166"/>
      <x v="2"/>
      <x/>
      <x/>
      <x v="169"/>
    </i>
    <i r="2">
      <x v="167"/>
      <x v="2"/>
      <x/>
      <x/>
      <x v="170"/>
    </i>
    <i r="2">
      <x v="168"/>
      <x v="2"/>
      <x/>
      <x/>
      <x v="171"/>
    </i>
    <i r="2">
      <x v="169"/>
      <x v="2"/>
      <x/>
      <x/>
      <x v="172"/>
    </i>
    <i r="2">
      <x v="170"/>
      <x v="2"/>
      <x/>
      <x/>
      <x v="173"/>
    </i>
    <i r="2">
      <x v="171"/>
      <x v="2"/>
      <x/>
      <x/>
      <x v="174"/>
    </i>
    <i r="2">
      <x v="172"/>
      <x v="2"/>
      <x/>
      <x/>
      <x v="175"/>
    </i>
    <i r="2">
      <x v="173"/>
      <x/>
      <x/>
      <x/>
      <x v="176"/>
    </i>
    <i r="2">
      <x v="174"/>
      <x v="2"/>
      <x/>
      <x/>
      <x v="177"/>
    </i>
    <i r="2">
      <x v="175"/>
      <x v="2"/>
      <x/>
      <x/>
      <x v="178"/>
    </i>
    <i r="2">
      <x v="176"/>
      <x v="2"/>
      <x/>
      <x/>
      <x v="179"/>
    </i>
    <i r="2">
      <x v="177"/>
      <x v="2"/>
      <x/>
      <x/>
      <x v="180"/>
    </i>
    <i r="2">
      <x v="178"/>
      <x v="2"/>
      <x/>
      <x/>
      <x v="181"/>
    </i>
    <i r="2">
      <x v="179"/>
      <x v="2"/>
      <x/>
      <x/>
      <x v="182"/>
    </i>
    <i r="2">
      <x v="180"/>
      <x v="2"/>
      <x/>
      <x/>
      <x v="183"/>
    </i>
    <i r="2">
      <x v="181"/>
      <x v="2"/>
      <x/>
      <x/>
      <x v="184"/>
    </i>
    <i r="2">
      <x v="182"/>
      <x v="2"/>
      <x/>
      <x/>
      <x v="185"/>
    </i>
    <i r="2">
      <x v="183"/>
      <x v="2"/>
      <x/>
      <x/>
      <x v="186"/>
    </i>
    <i r="2">
      <x v="184"/>
      <x v="2"/>
      <x/>
      <x/>
      <x v="187"/>
    </i>
    <i r="2">
      <x v="185"/>
      <x v="2"/>
      <x/>
      <x/>
      <x v="188"/>
    </i>
    <i r="2">
      <x v="186"/>
      <x v="2"/>
      <x/>
      <x/>
      <x v="189"/>
    </i>
    <i r="2">
      <x v="187"/>
      <x v="2"/>
      <x/>
      <x/>
      <x v="190"/>
    </i>
    <i r="2">
      <x v="188"/>
      <x v="2"/>
      <x/>
      <x/>
      <x v="191"/>
    </i>
    <i r="2">
      <x v="189"/>
      <x v="2"/>
      <x/>
      <x/>
      <x v="192"/>
    </i>
    <i r="2">
      <x v="190"/>
      <x v="2"/>
      <x/>
      <x/>
      <x v="193"/>
    </i>
    <i r="2">
      <x v="191"/>
      <x v="2"/>
      <x/>
      <x/>
      <x v="194"/>
    </i>
    <i r="2">
      <x v="192"/>
      <x v="2"/>
      <x/>
      <x/>
      <x v="195"/>
    </i>
    <i r="2">
      <x v="193"/>
      <x v="2"/>
      <x/>
      <x/>
      <x v="196"/>
    </i>
    <i r="2">
      <x v="194"/>
      <x v="2"/>
      <x/>
      <x/>
      <x v="197"/>
    </i>
    <i r="2">
      <x v="195"/>
      <x v="2"/>
      <x/>
      <x/>
      <x v="198"/>
    </i>
    <i r="2">
      <x v="196"/>
      <x v="2"/>
      <x/>
      <x/>
      <x v="199"/>
    </i>
    <i r="2">
      <x v="197"/>
      <x v="2"/>
      <x/>
      <x/>
      <x v="200"/>
    </i>
    <i r="2">
      <x v="198"/>
      <x v="2"/>
      <x/>
      <x/>
      <x v="201"/>
    </i>
    <i r="2">
      <x v="199"/>
      <x v="2"/>
      <x/>
      <x/>
      <x v="202"/>
    </i>
    <i r="2">
      <x v="200"/>
      <x v="2"/>
      <x/>
      <x/>
      <x v="203"/>
    </i>
    <i r="2">
      <x v="201"/>
      <x v="2"/>
      <x/>
      <x/>
      <x v="204"/>
    </i>
    <i r="2">
      <x v="202"/>
      <x v="2"/>
      <x/>
      <x/>
      <x v="205"/>
    </i>
    <i r="2">
      <x v="203"/>
      <x v="2"/>
      <x/>
      <x/>
      <x v="206"/>
    </i>
    <i r="2">
      <x v="204"/>
      <x v="2"/>
      <x/>
      <x/>
      <x v="207"/>
    </i>
    <i r="2">
      <x v="205"/>
      <x v="2"/>
      <x/>
      <x/>
      <x v="208"/>
    </i>
    <i r="2">
      <x v="206"/>
      <x v="2"/>
      <x/>
      <x/>
      <x v="209"/>
    </i>
    <i r="2">
      <x v="207"/>
      <x v="2"/>
      <x/>
      <x/>
      <x v="210"/>
    </i>
    <i r="2">
      <x v="208"/>
      <x v="2"/>
      <x/>
      <x/>
      <x v="211"/>
    </i>
    <i r="2">
      <x v="209"/>
      <x v="2"/>
      <x/>
      <x/>
      <x v="212"/>
    </i>
    <i r="2">
      <x v="210"/>
      <x v="2"/>
      <x/>
      <x/>
      <x v="213"/>
    </i>
    <i r="2">
      <x v="211"/>
      <x v="2"/>
      <x/>
      <x/>
      <x v="214"/>
    </i>
    <i r="2">
      <x v="212"/>
      <x v="2"/>
      <x/>
      <x/>
      <x v="215"/>
    </i>
    <i r="2">
      <x v="213"/>
      <x v="2"/>
      <x/>
      <x/>
      <x v="10"/>
    </i>
    <i r="2">
      <x v="214"/>
      <x v="2"/>
      <x/>
      <x/>
      <x v="216"/>
    </i>
    <i r="2">
      <x v="215"/>
      <x v="2"/>
      <x/>
      <x/>
      <x v="217"/>
    </i>
    <i r="2">
      <x v="216"/>
      <x v="2"/>
      <x/>
      <x/>
      <x v="218"/>
    </i>
    <i r="2">
      <x v="217"/>
      <x v="2"/>
      <x/>
      <x/>
      <x v="219"/>
    </i>
    <i r="2">
      <x v="218"/>
      <x v="2"/>
      <x/>
      <x/>
      <x v="220"/>
    </i>
    <i r="2">
      <x v="219"/>
      <x v="2"/>
      <x/>
      <x/>
      <x v="221"/>
    </i>
    <i r="2">
      <x v="220"/>
      <x v="2"/>
      <x/>
      <x/>
      <x v="222"/>
    </i>
    <i r="2">
      <x v="221"/>
      <x v="2"/>
      <x/>
      <x/>
      <x v="223"/>
    </i>
    <i r="2">
      <x v="222"/>
      <x v="2"/>
      <x/>
      <x/>
      <x v="224"/>
    </i>
    <i r="2">
      <x v="223"/>
      <x v="2"/>
      <x/>
      <x/>
      <x v="225"/>
    </i>
    <i r="2">
      <x v="224"/>
      <x v="2"/>
      <x/>
      <x/>
      <x v="226"/>
    </i>
    <i r="2">
      <x v="225"/>
      <x v="2"/>
      <x/>
      <x/>
      <x v="227"/>
    </i>
    <i r="2">
      <x v="226"/>
      <x v="2"/>
      <x/>
      <x/>
      <x v="228"/>
    </i>
    <i r="2">
      <x v="227"/>
      <x v="2"/>
      <x/>
      <x/>
      <x v="229"/>
    </i>
    <i r="2">
      <x v="228"/>
      <x v="2"/>
      <x/>
      <x/>
      <x v="230"/>
    </i>
    <i r="2">
      <x v="229"/>
      <x v="2"/>
      <x/>
      <x/>
      <x v="231"/>
    </i>
    <i r="2">
      <x v="230"/>
      <x v="2"/>
      <x/>
      <x/>
      <x v="232"/>
    </i>
    <i r="2">
      <x v="231"/>
      <x v="2"/>
      <x/>
      <x/>
      <x v="233"/>
    </i>
    <i r="2">
      <x v="232"/>
      <x v="2"/>
      <x/>
      <x/>
      <x v="234"/>
    </i>
    <i r="2">
      <x v="233"/>
      <x/>
      <x/>
      <x/>
      <x v="235"/>
    </i>
    <i r="2">
      <x v="234"/>
      <x v="2"/>
      <x/>
      <x/>
      <x v="236"/>
    </i>
    <i r="2">
      <x v="235"/>
      <x v="2"/>
      <x/>
      <x/>
      <x v="237"/>
    </i>
    <i r="2">
      <x v="236"/>
      <x v="2"/>
      <x/>
      <x/>
      <x v="238"/>
    </i>
    <i r="2">
      <x v="237"/>
      <x v="2"/>
      <x/>
      <x/>
      <x v="239"/>
    </i>
    <i r="2">
      <x v="238"/>
      <x v="2"/>
      <x/>
      <x/>
      <x v="240"/>
    </i>
    <i r="2">
      <x v="239"/>
      <x v="2"/>
      <x/>
      <x/>
      <x v="241"/>
    </i>
    <i r="2">
      <x v="240"/>
      <x v="2"/>
      <x/>
      <x/>
      <x v="242"/>
    </i>
    <i r="2">
      <x v="241"/>
      <x v="2"/>
      <x/>
      <x/>
      <x v="243"/>
    </i>
    <i r="2">
      <x v="242"/>
      <x v="2"/>
      <x/>
      <x/>
      <x v="244"/>
    </i>
    <i r="2">
      <x v="243"/>
      <x v="2"/>
      <x/>
      <x/>
      <x v="245"/>
    </i>
    <i r="2">
      <x v="244"/>
      <x v="2"/>
      <x/>
      <x/>
      <x v="246"/>
    </i>
    <i r="2">
      <x v="245"/>
      <x v="2"/>
      <x/>
      <x/>
      <x v="247"/>
    </i>
    <i r="2">
      <x v="246"/>
      <x v="2"/>
      <x/>
      <x/>
      <x v="248"/>
    </i>
    <i r="2">
      <x v="247"/>
      <x v="2"/>
      <x/>
      <x/>
      <x v="249"/>
    </i>
    <i r="2">
      <x v="248"/>
      <x/>
      <x/>
      <x/>
      <x v="250"/>
    </i>
    <i r="2">
      <x v="249"/>
      <x v="2"/>
      <x/>
      <x/>
      <x v="251"/>
    </i>
    <i r="2">
      <x v="250"/>
      <x v="2"/>
      <x/>
      <x/>
      <x v="252"/>
    </i>
    <i r="2">
      <x v="251"/>
      <x v="2"/>
      <x/>
      <x/>
      <x v="253"/>
    </i>
    <i r="2">
      <x v="252"/>
      <x v="2"/>
      <x/>
      <x/>
      <x v="254"/>
    </i>
    <i r="2">
      <x v="253"/>
      <x/>
      <x/>
      <x/>
      <x v="255"/>
    </i>
    <i r="2">
      <x v="254"/>
      <x v="2"/>
      <x/>
      <x/>
      <x v="256"/>
    </i>
    <i r="2">
      <x v="255"/>
      <x v="2"/>
      <x/>
      <x/>
      <x v="257"/>
    </i>
    <i r="2">
      <x v="256"/>
      <x v="2"/>
      <x/>
      <x/>
      <x v="258"/>
    </i>
    <i r="2">
      <x v="257"/>
      <x v="2"/>
      <x/>
      <x/>
      <x v="259"/>
    </i>
    <i r="2">
      <x v="258"/>
      <x v="2"/>
      <x/>
      <x/>
      <x v="260"/>
    </i>
    <i r="2">
      <x v="259"/>
      <x v="2"/>
      <x/>
      <x/>
      <x v="261"/>
    </i>
    <i r="2">
      <x v="260"/>
      <x v="2"/>
      <x/>
      <x/>
      <x v="262"/>
    </i>
    <i r="2">
      <x v="261"/>
      <x v="2"/>
      <x/>
      <x/>
      <x v="263"/>
    </i>
    <i r="2">
      <x v="262"/>
      <x v="2"/>
      <x/>
      <x/>
      <x v="264"/>
    </i>
    <i r="2">
      <x v="263"/>
      <x v="2"/>
      <x/>
      <x/>
      <x v="265"/>
    </i>
    <i r="2">
      <x v="264"/>
      <x v="2"/>
      <x/>
      <x/>
      <x v="266"/>
    </i>
    <i r="2">
      <x v="265"/>
      <x v="2"/>
      <x/>
      <x/>
      <x v="267"/>
    </i>
    <i r="2">
      <x v="266"/>
      <x v="2"/>
      <x/>
      <x/>
      <x v="268"/>
    </i>
    <i r="2">
      <x v="267"/>
      <x v="2"/>
      <x/>
      <x/>
      <x v="269"/>
    </i>
    <i r="2">
      <x v="268"/>
      <x v="2"/>
      <x/>
      <x/>
      <x v="270"/>
    </i>
    <i r="2">
      <x v="269"/>
      <x/>
      <x/>
      <x/>
      <x v="271"/>
    </i>
    <i r="2">
      <x v="270"/>
      <x v="2"/>
      <x/>
      <x/>
      <x v="272"/>
    </i>
    <i r="2">
      <x v="271"/>
      <x v="2"/>
      <x/>
      <x/>
      <x v="273"/>
    </i>
    <i r="2">
      <x v="272"/>
      <x v="2"/>
      <x/>
      <x/>
      <x v="274"/>
    </i>
    <i r="2">
      <x v="273"/>
      <x v="2"/>
      <x/>
      <x/>
      <x v="275"/>
    </i>
    <i r="2">
      <x v="274"/>
      <x v="2"/>
      <x/>
      <x/>
      <x v="276"/>
    </i>
    <i r="2">
      <x v="275"/>
      <x v="2"/>
      <x/>
      <x/>
      <x v="277"/>
    </i>
    <i r="2">
      <x v="276"/>
      <x v="2"/>
      <x/>
      <x/>
      <x v="278"/>
    </i>
    <i r="2">
      <x v="277"/>
      <x/>
      <x/>
      <x/>
      <x v="280"/>
    </i>
    <i r="3">
      <x v="2"/>
      <x/>
      <x/>
      <x v="279"/>
    </i>
    <i r="2">
      <x v="278"/>
      <x v="2"/>
      <x/>
      <x/>
      <x v="281"/>
    </i>
    <i r="2">
      <x v="279"/>
      <x v="2"/>
      <x/>
      <x/>
      <x v="282"/>
    </i>
    <i r="2">
      <x v="280"/>
      <x v="2"/>
      <x/>
      <x/>
      <x v="283"/>
    </i>
    <i r="2">
      <x v="281"/>
      <x v="2"/>
      <x/>
      <x/>
      <x v="284"/>
    </i>
    <i r="2">
      <x v="282"/>
      <x v="2"/>
      <x/>
      <x/>
      <x v="285"/>
    </i>
    <i r="2">
      <x v="283"/>
      <x v="2"/>
      <x/>
      <x/>
      <x v="286"/>
    </i>
    <i r="2">
      <x v="284"/>
      <x/>
      <x/>
      <x/>
      <x v="287"/>
    </i>
    <i r="2">
      <x v="285"/>
      <x v="2"/>
      <x/>
      <x/>
      <x v="288"/>
    </i>
    <i r="2">
      <x v="286"/>
      <x v="2"/>
      <x/>
      <x/>
      <x v="289"/>
    </i>
    <i r="2">
      <x v="287"/>
      <x v="2"/>
      <x/>
      <x/>
      <x v="290"/>
    </i>
    <i r="2">
      <x v="288"/>
      <x v="2"/>
      <x/>
      <x/>
      <x v="291"/>
    </i>
    <i r="2">
      <x v="289"/>
      <x v="2"/>
      <x/>
      <x/>
      <x v="292"/>
    </i>
    <i r="2">
      <x v="290"/>
      <x v="2"/>
      <x/>
      <x/>
      <x v="293"/>
    </i>
    <i r="2">
      <x v="291"/>
      <x v="2"/>
      <x/>
      <x/>
      <x v="294"/>
    </i>
    <i r="2">
      <x v="292"/>
      <x v="2"/>
      <x/>
      <x/>
      <x v="295"/>
    </i>
    <i r="2">
      <x v="293"/>
      <x v="2"/>
      <x/>
      <x/>
      <x v="296"/>
    </i>
    <i r="2">
      <x v="294"/>
      <x v="2"/>
      <x/>
      <x/>
      <x v="297"/>
    </i>
    <i r="2">
      <x v="295"/>
      <x/>
      <x/>
      <x/>
      <x v="298"/>
    </i>
    <i r="2">
      <x v="296"/>
      <x v="2"/>
      <x/>
      <x/>
      <x v="299"/>
    </i>
    <i r="2">
      <x v="297"/>
      <x/>
      <x/>
      <x/>
      <x v="300"/>
    </i>
    <i r="2">
      <x v="298"/>
      <x v="2"/>
      <x/>
      <x/>
      <x v="301"/>
    </i>
    <i r="2">
      <x v="299"/>
      <x v="2"/>
      <x/>
      <x/>
      <x v="302"/>
    </i>
    <i r="2">
      <x v="300"/>
      <x v="2"/>
      <x/>
      <x/>
      <x v="303"/>
    </i>
    <i r="2">
      <x v="301"/>
      <x v="2"/>
      <x/>
      <x/>
      <x v="304"/>
    </i>
    <i r="2">
      <x v="302"/>
      <x v="2"/>
      <x/>
      <x/>
      <x v="305"/>
    </i>
    <i r="2">
      <x v="303"/>
      <x v="2"/>
      <x/>
      <x/>
      <x v="306"/>
    </i>
    <i r="2">
      <x v="304"/>
      <x/>
      <x/>
      <x/>
      <x v="307"/>
    </i>
    <i r="2">
      <x v="305"/>
      <x v="2"/>
      <x/>
      <x/>
      <x v="308"/>
    </i>
    <i r="2">
      <x v="306"/>
      <x v="2"/>
      <x/>
      <x/>
      <x v="309"/>
    </i>
    <i r="2">
      <x v="307"/>
      <x v="2"/>
      <x/>
      <x/>
      <x v="310"/>
    </i>
    <i r="2">
      <x v="308"/>
      <x v="1"/>
      <x/>
      <x/>
      <x v="311"/>
    </i>
    <i r="2">
      <x v="309"/>
      <x/>
      <x/>
      <x/>
      <x v="312"/>
    </i>
    <i r="2">
      <x v="310"/>
      <x v="2"/>
      <x/>
      <x/>
      <x v="313"/>
    </i>
    <i r="2">
      <x v="311"/>
      <x v="2"/>
      <x/>
      <x/>
      <x v="314"/>
    </i>
    <i r="2">
      <x v="312"/>
      <x v="2"/>
      <x/>
      <x/>
      <x v="315"/>
    </i>
    <i r="2">
      <x v="313"/>
      <x v="2"/>
      <x/>
      <x/>
      <x v="316"/>
    </i>
    <i r="2">
      <x v="314"/>
      <x v="2"/>
      <x/>
      <x/>
      <x v="317"/>
    </i>
    <i r="2">
      <x v="315"/>
      <x v="2"/>
      <x/>
      <x/>
      <x v="318"/>
    </i>
    <i r="2">
      <x v="316"/>
      <x v="2"/>
      <x/>
      <x/>
      <x v="319"/>
    </i>
    <i r="2">
      <x v="317"/>
      <x v="2"/>
      <x/>
      <x/>
      <x v="320"/>
    </i>
    <i r="2">
      <x v="318"/>
      <x v="2"/>
      <x/>
      <x/>
      <x v="321"/>
    </i>
    <i r="2">
      <x v="319"/>
      <x/>
      <x/>
      <x/>
      <x v="322"/>
    </i>
    <i r="2">
      <x v="320"/>
      <x v="2"/>
      <x/>
      <x/>
      <x v="323"/>
    </i>
    <i r="2">
      <x v="321"/>
      <x v="2"/>
      <x/>
      <x/>
      <x v="324"/>
    </i>
    <i r="2">
      <x v="322"/>
      <x v="2"/>
      <x/>
      <x/>
      <x v="325"/>
    </i>
    <i r="2">
      <x v="323"/>
      <x v="2"/>
      <x/>
      <x/>
      <x v="326"/>
    </i>
    <i r="2">
      <x v="324"/>
      <x v="2"/>
      <x/>
      <x/>
      <x v="327"/>
    </i>
    <i r="2">
      <x v="325"/>
      <x v="2"/>
      <x/>
      <x/>
      <x v="328"/>
    </i>
    <i r="2">
      <x v="326"/>
      <x v="2"/>
      <x/>
      <x/>
      <x v="329"/>
    </i>
    <i r="2">
      <x v="327"/>
      <x v="2"/>
      <x/>
      <x/>
      <x v="330"/>
    </i>
    <i r="2">
      <x v="328"/>
      <x v="2"/>
      <x/>
      <x/>
      <x v="331"/>
    </i>
    <i r="2">
      <x v="329"/>
      <x v="2"/>
      <x/>
      <x/>
      <x v="332"/>
    </i>
    <i r="2">
      <x v="330"/>
      <x v="2"/>
      <x/>
      <x/>
      <x v="333"/>
    </i>
    <i r="2">
      <x v="331"/>
      <x v="2"/>
      <x/>
      <x/>
      <x v="334"/>
    </i>
    <i r="2">
      <x v="332"/>
      <x v="2"/>
      <x/>
      <x/>
      <x v="335"/>
    </i>
    <i r="2">
      <x v="333"/>
      <x v="2"/>
      <x/>
      <x/>
      <x v="336"/>
    </i>
    <i r="2">
      <x v="334"/>
      <x v="2"/>
      <x/>
      <x/>
      <x v="337"/>
    </i>
    <i r="2">
      <x v="335"/>
      <x v="2"/>
      <x/>
      <x/>
      <x v="338"/>
    </i>
    <i r="2">
      <x v="336"/>
      <x v="2"/>
      <x/>
      <x/>
      <x v="339"/>
    </i>
    <i r="2">
      <x v="337"/>
      <x v="2"/>
      <x/>
      <x/>
      <x v="340"/>
    </i>
    <i r="2">
      <x v="338"/>
      <x v="2"/>
      <x/>
      <x/>
      <x v="341"/>
    </i>
    <i r="2">
      <x v="339"/>
      <x v="2"/>
      <x/>
      <x/>
      <x v="342"/>
    </i>
    <i r="2">
      <x v="340"/>
      <x v="2"/>
      <x/>
      <x/>
      <x v="343"/>
    </i>
    <i r="2">
      <x v="341"/>
      <x v="2"/>
      <x/>
      <x/>
      <x v="344"/>
    </i>
    <i r="2">
      <x v="342"/>
      <x v="2"/>
      <x/>
      <x/>
      <x v="345"/>
    </i>
    <i r="2">
      <x v="343"/>
      <x v="2"/>
      <x/>
      <x/>
      <x v="346"/>
    </i>
    <i r="2">
      <x v="344"/>
      <x v="2"/>
      <x/>
      <x/>
      <x v="347"/>
    </i>
    <i r="2">
      <x v="345"/>
      <x v="2"/>
      <x/>
      <x/>
      <x v="348"/>
    </i>
    <i r="2">
      <x v="346"/>
      <x v="2"/>
      <x/>
      <x/>
      <x v="349"/>
    </i>
    <i r="2">
      <x v="347"/>
      <x/>
      <x/>
      <x/>
      <x v="312"/>
    </i>
    <i r="2">
      <x v="348"/>
      <x v="2"/>
      <x/>
      <x/>
      <x v="350"/>
    </i>
    <i r="2">
      <x v="349"/>
      <x v="2"/>
      <x/>
      <x/>
      <x v="351"/>
    </i>
    <i r="2">
      <x v="350"/>
      <x v="2"/>
      <x/>
      <x/>
      <x v="352"/>
    </i>
    <i r="2">
      <x v="351"/>
      <x v="2"/>
      <x/>
      <x/>
      <x v="353"/>
    </i>
    <i r="2">
      <x v="352"/>
      <x v="2"/>
      <x/>
      <x/>
      <x v="354"/>
    </i>
    <i r="2">
      <x v="353"/>
      <x v="2"/>
      <x/>
      <x/>
      <x v="355"/>
    </i>
    <i r="2">
      <x v="354"/>
      <x v="2"/>
      <x/>
      <x/>
      <x v="356"/>
    </i>
    <i r="2">
      <x v="355"/>
      <x/>
      <x/>
      <x/>
      <x v="357"/>
    </i>
    <i r="2">
      <x v="356"/>
      <x v="2"/>
      <x/>
      <x/>
      <x v="358"/>
    </i>
    <i r="2">
      <x v="357"/>
      <x v="2"/>
      <x/>
      <x/>
      <x v="359"/>
    </i>
    <i r="2">
      <x v="358"/>
      <x v="2"/>
      <x/>
      <x/>
      <x v="360"/>
    </i>
    <i r="2">
      <x v="359"/>
      <x/>
      <x/>
      <x/>
      <x v="361"/>
    </i>
    <i r="2">
      <x v="360"/>
      <x v="2"/>
      <x/>
      <x/>
      <x v="359"/>
    </i>
    <i r="2">
      <x v="361"/>
      <x v="2"/>
      <x/>
      <x/>
      <x v="362"/>
    </i>
    <i r="2">
      <x v="362"/>
      <x v="2"/>
      <x/>
      <x/>
      <x v="363"/>
    </i>
    <i r="2">
      <x v="363"/>
      <x v="2"/>
      <x/>
      <x/>
      <x v="364"/>
    </i>
    <i r="2">
      <x v="364"/>
      <x v="2"/>
      <x/>
      <x/>
      <x v="365"/>
    </i>
    <i r="2">
      <x v="365"/>
      <x v="2"/>
      <x/>
      <x/>
      <x v="366"/>
    </i>
    <i r="2">
      <x v="366"/>
      <x v="2"/>
      <x/>
      <x/>
      <x v="367"/>
    </i>
    <i r="2">
      <x v="367"/>
      <x v="2"/>
      <x/>
      <x/>
      <x v="368"/>
    </i>
    <i r="2">
      <x v="368"/>
      <x/>
      <x/>
      <x/>
      <x v="370"/>
    </i>
    <i r="3">
      <x v="2"/>
      <x/>
      <x/>
      <x v="369"/>
    </i>
    <i r="2">
      <x v="369"/>
      <x v="2"/>
      <x/>
      <x/>
      <x v="371"/>
    </i>
    <i r="2">
      <x v="370"/>
      <x v="2"/>
      <x/>
      <x/>
      <x v="372"/>
    </i>
    <i r="2">
      <x v="371"/>
      <x v="1"/>
      <x/>
      <x/>
      <x v="373"/>
    </i>
    <i r="2">
      <x v="372"/>
      <x v="2"/>
      <x/>
      <x/>
      <x v="374"/>
    </i>
    <i r="2">
      <x v="373"/>
      <x v="2"/>
      <x/>
      <x/>
      <x v="375"/>
    </i>
    <i r="2">
      <x v="374"/>
      <x v="2"/>
      <x/>
      <x/>
      <x v="376"/>
    </i>
    <i r="2">
      <x v="375"/>
      <x v="2"/>
      <x/>
      <x/>
      <x v="377"/>
    </i>
    <i r="2">
      <x v="376"/>
      <x v="2"/>
      <x/>
      <x/>
      <x v="378"/>
    </i>
    <i r="2">
      <x v="377"/>
      <x v="2"/>
      <x/>
      <x/>
      <x v="379"/>
    </i>
    <i r="2">
      <x v="378"/>
      <x v="2"/>
      <x/>
      <x/>
      <x v="380"/>
    </i>
    <i r="2">
      <x v="379"/>
      <x v="2"/>
      <x/>
      <x/>
      <x v="381"/>
    </i>
    <i r="2">
      <x v="380"/>
      <x v="2"/>
      <x/>
      <x/>
      <x v="382"/>
    </i>
    <i r="2">
      <x v="381"/>
      <x v="2"/>
      <x/>
      <x/>
      <x v="383"/>
    </i>
    <i r="2">
      <x v="382"/>
      <x v="2"/>
      <x/>
      <x/>
      <x v="384"/>
    </i>
    <i r="2">
      <x v="383"/>
      <x v="2"/>
      <x/>
      <x/>
      <x v="385"/>
    </i>
    <i r="2">
      <x v="384"/>
      <x/>
      <x/>
      <x/>
      <x v="386"/>
    </i>
    <i r="2">
      <x v="385"/>
      <x v="2"/>
      <x/>
      <x/>
      <x v="387"/>
    </i>
    <i r="2">
      <x v="386"/>
      <x v="2"/>
      <x/>
      <x/>
      <x v="388"/>
    </i>
    <i r="2">
      <x v="387"/>
      <x v="2"/>
      <x/>
      <x/>
      <x v="389"/>
    </i>
    <i r="2">
      <x v="388"/>
      <x v="2"/>
      <x/>
      <x/>
      <x v="390"/>
    </i>
    <i r="2">
      <x v="389"/>
      <x v="2"/>
      <x/>
      <x/>
      <x v="391"/>
    </i>
    <i r="2">
      <x v="390"/>
      <x v="2"/>
      <x/>
      <x/>
      <x v="392"/>
    </i>
    <i r="2">
      <x v="391"/>
      <x v="2"/>
      <x/>
      <x/>
      <x v="393"/>
    </i>
    <i r="2">
      <x v="392"/>
      <x v="2"/>
      <x/>
      <x/>
      <x v="394"/>
    </i>
    <i r="2">
      <x v="393"/>
      <x v="2"/>
      <x/>
      <x/>
      <x v="395"/>
    </i>
    <i r="2">
      <x v="394"/>
      <x v="2"/>
      <x/>
      <x/>
      <x v="396"/>
    </i>
    <i r="2">
      <x v="395"/>
      <x v="2"/>
      <x/>
      <x/>
      <x v="397"/>
    </i>
    <i r="2">
      <x v="396"/>
      <x v="2"/>
      <x/>
      <x/>
      <x v="398"/>
    </i>
    <i r="2">
      <x v="397"/>
      <x v="2"/>
      <x/>
      <x/>
      <x v="399"/>
    </i>
    <i r="2">
      <x v="398"/>
      <x v="2"/>
      <x/>
      <x/>
      <x v="400"/>
    </i>
    <i r="2">
      <x v="399"/>
      <x v="2"/>
      <x/>
      <x/>
      <x v="401"/>
    </i>
    <i r="2">
      <x v="400"/>
      <x v="2"/>
      <x/>
      <x/>
      <x v="402"/>
    </i>
    <i r="2">
      <x v="401"/>
      <x/>
      <x/>
      <x/>
      <x v="403"/>
    </i>
    <i r="2">
      <x v="402"/>
      <x v="2"/>
      <x/>
      <x/>
      <x v="404"/>
    </i>
    <i r="2">
      <x v="403"/>
      <x v="2"/>
      <x/>
      <x/>
      <x v="405"/>
    </i>
    <i r="2">
      <x v="404"/>
      <x v="2"/>
      <x/>
      <x/>
      <x v="406"/>
    </i>
    <i r="2">
      <x v="405"/>
      <x v="2"/>
      <x/>
      <x/>
      <x v="407"/>
    </i>
    <i r="2">
      <x v="406"/>
      <x v="2"/>
      <x/>
      <x/>
      <x v="408"/>
    </i>
    <i r="2">
      <x v="407"/>
      <x v="2"/>
      <x/>
      <x/>
      <x v="409"/>
    </i>
    <i r="2">
      <x v="408"/>
      <x v="2"/>
      <x/>
      <x/>
      <x v="410"/>
    </i>
    <i r="2">
      <x v="409"/>
      <x v="2"/>
      <x/>
      <x/>
      <x v="411"/>
    </i>
    <i r="2">
      <x v="410"/>
      <x v="2"/>
      <x/>
      <x/>
      <x v="412"/>
    </i>
    <i r="2">
      <x v="411"/>
      <x v="2"/>
      <x/>
      <x/>
      <x v="413"/>
    </i>
    <i r="2">
      <x v="412"/>
      <x v="2"/>
      <x/>
      <x/>
      <x v="414"/>
    </i>
    <i r="2">
      <x v="413"/>
      <x v="2"/>
      <x/>
      <x/>
      <x v="415"/>
    </i>
    <i r="2">
      <x v="414"/>
      <x v="2"/>
      <x/>
      <x/>
      <x v="416"/>
    </i>
    <i r="2">
      <x v="415"/>
      <x v="1"/>
      <x/>
      <x/>
      <x v="417"/>
    </i>
    <i r="2">
      <x v="416"/>
      <x v="2"/>
      <x/>
      <x/>
      <x v="418"/>
    </i>
    <i r="2">
      <x v="417"/>
      <x v="2"/>
      <x/>
      <x/>
      <x v="419"/>
    </i>
    <i r="2">
      <x v="418"/>
      <x v="2"/>
      <x/>
      <x/>
      <x v="420"/>
    </i>
    <i r="2">
      <x v="419"/>
      <x v="2"/>
      <x/>
      <x/>
      <x v="421"/>
    </i>
    <i r="2">
      <x v="420"/>
      <x v="2"/>
      <x/>
      <x/>
      <x v="422"/>
    </i>
    <i r="2">
      <x v="421"/>
      <x v="2"/>
      <x/>
      <x/>
      <x v="423"/>
    </i>
    <i r="2">
      <x v="422"/>
      <x v="2"/>
      <x/>
      <x/>
      <x v="424"/>
    </i>
    <i r="2">
      <x v="423"/>
      <x/>
      <x/>
      <x/>
      <x v="361"/>
    </i>
    <i r="2">
      <x v="424"/>
      <x v="2"/>
      <x/>
      <x/>
      <x v="425"/>
    </i>
    <i r="2">
      <x v="425"/>
      <x v="2"/>
      <x/>
      <x/>
      <x v="426"/>
    </i>
    <i r="2">
      <x v="426"/>
      <x v="2"/>
      <x/>
      <x/>
      <x v="427"/>
    </i>
    <i r="2">
      <x v="427"/>
      <x v="2"/>
      <x/>
      <x/>
      <x v="428"/>
    </i>
    <i r="2">
      <x v="428"/>
      <x v="2"/>
      <x/>
      <x/>
      <x v="429"/>
    </i>
    <i r="2">
      <x v="429"/>
      <x v="2"/>
      <x/>
      <x/>
      <x v="430"/>
    </i>
    <i r="2">
      <x v="430"/>
      <x v="2"/>
      <x/>
      <x/>
      <x v="431"/>
    </i>
    <i r="2">
      <x v="431"/>
      <x v="2"/>
      <x/>
      <x/>
      <x v="432"/>
    </i>
    <i r="2">
      <x v="432"/>
      <x v="2"/>
      <x/>
      <x/>
      <x v="433"/>
    </i>
    <i r="2">
      <x v="433"/>
      <x v="2"/>
      <x/>
      <x/>
      <x v="434"/>
    </i>
    <i r="2">
      <x v="434"/>
      <x v="2"/>
      <x/>
      <x/>
      <x v="435"/>
    </i>
    <i r="2">
      <x v="435"/>
      <x v="2"/>
      <x/>
      <x/>
      <x v="436"/>
    </i>
    <i r="2">
      <x v="436"/>
      <x v="2"/>
      <x/>
      <x/>
      <x v="437"/>
    </i>
    <i r="2">
      <x v="437"/>
      <x v="2"/>
      <x/>
      <x/>
      <x v="438"/>
    </i>
    <i r="2">
      <x v="438"/>
      <x/>
      <x/>
      <x/>
      <x v="439"/>
    </i>
    <i r="2">
      <x v="439"/>
      <x v="2"/>
      <x/>
      <x/>
      <x v="440"/>
    </i>
    <i r="2">
      <x v="440"/>
      <x v="2"/>
      <x/>
      <x/>
      <x v="441"/>
    </i>
    <i r="2">
      <x v="441"/>
      <x v="2"/>
      <x/>
      <x/>
      <x v="442"/>
    </i>
    <i r="2">
      <x v="442"/>
      <x v="2"/>
      <x/>
      <x/>
      <x v="443"/>
    </i>
    <i r="2">
      <x v="443"/>
      <x v="2"/>
      <x/>
      <x/>
      <x v="444"/>
    </i>
    <i r="2">
      <x v="444"/>
      <x v="2"/>
      <x/>
      <x/>
      <x v="445"/>
    </i>
    <i r="2">
      <x v="445"/>
      <x v="2"/>
      <x/>
      <x/>
      <x v="446"/>
    </i>
    <i r="2">
      <x v="446"/>
      <x v="2"/>
      <x/>
      <x/>
      <x v="346"/>
    </i>
    <i r="2">
      <x v="447"/>
      <x v="2"/>
      <x/>
      <x/>
      <x v="447"/>
    </i>
    <i r="2">
      <x v="448"/>
      <x v="2"/>
      <x/>
      <x/>
      <x v="448"/>
    </i>
    <i r="2">
      <x v="449"/>
      <x v="2"/>
      <x/>
      <x/>
      <x v="449"/>
    </i>
    <i r="2">
      <x v="450"/>
      <x v="2"/>
      <x/>
      <x/>
      <x v="450"/>
    </i>
    <i r="2">
      <x v="451"/>
      <x v="2"/>
      <x/>
      <x/>
      <x v="451"/>
    </i>
    <i r="2">
      <x v="452"/>
      <x v="2"/>
      <x/>
      <x/>
      <x v="452"/>
    </i>
    <i r="2">
      <x v="453"/>
      <x v="2"/>
      <x/>
      <x/>
      <x v="453"/>
    </i>
    <i r="2">
      <x v="454"/>
      <x v="2"/>
      <x/>
      <x/>
      <x v="454"/>
    </i>
    <i r="2">
      <x v="455"/>
      <x v="2"/>
      <x/>
      <x/>
      <x v="455"/>
    </i>
    <i r="2">
      <x v="456"/>
      <x/>
      <x/>
      <x/>
      <x v="456"/>
    </i>
    <i r="2">
      <x v="457"/>
      <x v="2"/>
      <x/>
      <x/>
      <x v="457"/>
    </i>
    <i r="2">
      <x v="458"/>
      <x v="2"/>
      <x/>
      <x/>
      <x v="458"/>
    </i>
    <i r="2">
      <x v="459"/>
      <x v="2"/>
      <x/>
      <x/>
      <x v="459"/>
    </i>
    <i r="2">
      <x v="460"/>
      <x v="2"/>
      <x/>
      <x/>
      <x v="460"/>
    </i>
    <i r="2">
      <x v="461"/>
      <x v="2"/>
      <x/>
      <x/>
      <x v="461"/>
    </i>
    <i r="2">
      <x v="462"/>
      <x v="2"/>
      <x/>
      <x/>
      <x v="462"/>
    </i>
    <i r="2">
      <x v="463"/>
      <x v="2"/>
      <x/>
      <x/>
      <x v="450"/>
    </i>
    <i r="2">
      <x v="464"/>
      <x v="2"/>
      <x/>
      <x/>
      <x v="463"/>
    </i>
    <i r="2">
      <x v="465"/>
      <x v="2"/>
      <x/>
      <x/>
      <x v="464"/>
    </i>
    <i r="2">
      <x v="466"/>
      <x v="2"/>
      <x/>
      <x/>
      <x v="465"/>
    </i>
    <i r="2">
      <x v="467"/>
      <x v="2"/>
      <x/>
      <x/>
      <x v="466"/>
    </i>
    <i r="2">
      <x v="468"/>
      <x v="2"/>
      <x/>
      <x/>
      <x v="467"/>
    </i>
    <i r="2">
      <x v="469"/>
      <x v="2"/>
      <x/>
      <x/>
      <x v="468"/>
    </i>
    <i r="2">
      <x v="470"/>
      <x v="2"/>
      <x/>
      <x/>
      <x v="469"/>
    </i>
    <i r="2">
      <x v="471"/>
      <x/>
      <x/>
      <x/>
      <x v="470"/>
    </i>
    <i r="2">
      <x v="472"/>
      <x v="2"/>
      <x/>
      <x/>
      <x v="471"/>
    </i>
    <i r="2">
      <x v="473"/>
      <x v="2"/>
      <x/>
      <x/>
      <x v="472"/>
    </i>
    <i r="2">
      <x v="474"/>
      <x v="2"/>
      <x/>
      <x/>
      <x v="473"/>
    </i>
    <i r="2">
      <x v="475"/>
      <x v="2"/>
      <x/>
      <x/>
      <x v="474"/>
    </i>
    <i r="2">
      <x v="476"/>
      <x v="2"/>
      <x/>
      <x/>
      <x v="475"/>
    </i>
    <i r="2">
      <x v="477"/>
      <x v="2"/>
      <x/>
      <x/>
      <x v="476"/>
    </i>
    <i r="2">
      <x v="478"/>
      <x v="2"/>
      <x/>
      <x/>
      <x v="477"/>
    </i>
    <i r="2">
      <x v="479"/>
      <x v="2"/>
      <x/>
      <x/>
      <x v="478"/>
    </i>
    <i r="2">
      <x v="480"/>
      <x v="2"/>
      <x/>
      <x/>
      <x v="479"/>
    </i>
    <i r="2">
      <x v="481"/>
      <x v="2"/>
      <x/>
      <x/>
      <x v="480"/>
    </i>
    <i r="2">
      <x v="482"/>
      <x v="2"/>
      <x/>
      <x/>
      <x v="481"/>
    </i>
    <i r="2">
      <x v="483"/>
      <x v="2"/>
      <x/>
      <x/>
      <x v="482"/>
    </i>
    <i r="2">
      <x v="484"/>
      <x v="2"/>
      <x/>
      <x/>
      <x v="483"/>
    </i>
    <i r="2">
      <x v="485"/>
      <x v="2"/>
      <x/>
      <x/>
      <x v="484"/>
    </i>
    <i r="2">
      <x v="486"/>
      <x/>
      <x/>
      <x/>
      <x v="485"/>
    </i>
    <i r="2">
      <x v="487"/>
      <x v="2"/>
      <x/>
      <x/>
      <x v="328"/>
    </i>
    <i r="2">
      <x v="488"/>
      <x v="2"/>
      <x/>
      <x/>
      <x v="486"/>
    </i>
    <i r="2">
      <x v="489"/>
      <x v="2"/>
      <x/>
      <x/>
      <x v="487"/>
    </i>
    <i r="2">
      <x v="490"/>
      <x v="2"/>
      <x/>
      <x/>
      <x v="488"/>
    </i>
    <i r="2">
      <x v="491"/>
      <x v="1"/>
      <x/>
      <x/>
      <x v="489"/>
    </i>
    <i r="3">
      <x v="2"/>
      <x/>
      <x/>
      <x v="490"/>
    </i>
    <i r="2">
      <x v="492"/>
      <x v="2"/>
      <x/>
      <x/>
      <x v="491"/>
    </i>
    <i r="2">
      <x v="493"/>
      <x v="2"/>
      <x/>
      <x/>
      <x v="492"/>
    </i>
    <i r="2">
      <x v="494"/>
      <x v="2"/>
      <x/>
      <x/>
      <x v="493"/>
    </i>
    <i r="2">
      <x v="495"/>
      <x v="2"/>
      <x/>
      <x/>
      <x v="494"/>
    </i>
    <i r="2">
      <x v="496"/>
      <x v="2"/>
      <x/>
      <x/>
      <x v="495"/>
    </i>
    <i r="2">
      <x v="497"/>
      <x v="2"/>
      <x/>
      <x/>
      <x v="496"/>
    </i>
    <i r="2">
      <x v="498"/>
      <x v="2"/>
      <x/>
      <x/>
      <x v="497"/>
    </i>
    <i r="2">
      <x v="499"/>
      <x v="2"/>
      <x/>
      <x/>
      <x v="498"/>
    </i>
    <i r="2">
      <x v="500"/>
      <x v="2"/>
      <x/>
      <x/>
      <x v="499"/>
    </i>
    <i r="2">
      <x v="501"/>
      <x v="2"/>
      <x/>
      <x/>
      <x v="500"/>
    </i>
    <i r="2">
      <x v="502"/>
      <x v="2"/>
      <x/>
      <x/>
      <x v="501"/>
    </i>
    <i r="2">
      <x v="503"/>
      <x v="2"/>
      <x/>
      <x/>
      <x v="502"/>
    </i>
    <i r="2">
      <x v="504"/>
      <x v="2"/>
      <x/>
      <x/>
      <x v="503"/>
    </i>
    <i r="2">
      <x v="505"/>
      <x v="2"/>
      <x/>
      <x/>
      <x v="504"/>
    </i>
    <i r="2">
      <x v="506"/>
      <x v="2"/>
      <x/>
      <x/>
      <x v="505"/>
    </i>
    <i r="2">
      <x v="507"/>
      <x v="2"/>
      <x/>
      <x/>
      <x v="506"/>
    </i>
    <i r="2">
      <x v="508"/>
      <x v="2"/>
      <x/>
      <x/>
      <x v="507"/>
    </i>
    <i r="2">
      <x v="509"/>
      <x v="2"/>
      <x/>
      <x/>
      <x v="508"/>
    </i>
    <i r="2">
      <x v="510"/>
      <x v="2"/>
      <x/>
      <x/>
      <x v="509"/>
    </i>
    <i r="2">
      <x v="511"/>
      <x v="2"/>
      <x/>
      <x/>
      <x v="510"/>
    </i>
    <i r="2">
      <x v="512"/>
      <x v="2"/>
      <x/>
      <x/>
      <x v="511"/>
    </i>
    <i r="2">
      <x v="513"/>
      <x/>
      <x/>
      <x/>
      <x v="513"/>
    </i>
    <i r="3">
      <x v="2"/>
      <x/>
      <x/>
      <x v="512"/>
    </i>
    <i r="2">
      <x v="514"/>
      <x v="2"/>
      <x/>
      <x/>
      <x v="514"/>
    </i>
    <i r="2">
      <x v="515"/>
      <x v="2"/>
      <x/>
      <x/>
      <x v="515"/>
    </i>
    <i r="2">
      <x v="516"/>
      <x v="2"/>
      <x/>
      <x/>
      <x v="516"/>
    </i>
    <i r="2">
      <x v="517"/>
      <x v="2"/>
      <x/>
      <x/>
      <x v="517"/>
    </i>
    <i r="2">
      <x v="518"/>
      <x v="2"/>
      <x/>
      <x/>
      <x v="518"/>
    </i>
    <i r="2">
      <x v="519"/>
      <x/>
      <x/>
      <x/>
      <x v="519"/>
    </i>
    <i r="2">
      <x v="520"/>
      <x v="2"/>
      <x/>
      <x/>
      <x v="520"/>
    </i>
    <i r="2">
      <x v="521"/>
      <x v="2"/>
      <x/>
      <x/>
      <x v="521"/>
    </i>
    <i r="2">
      <x v="522"/>
      <x v="2"/>
      <x/>
      <x/>
      <x v="522"/>
    </i>
    <i r="2">
      <x v="523"/>
      <x v="2"/>
      <x/>
      <x/>
      <x v="523"/>
    </i>
    <i r="2">
      <x v="524"/>
      <x v="2"/>
      <x/>
      <x/>
      <x v="524"/>
    </i>
    <i r="2">
      <x v="525"/>
      <x v="2"/>
      <x/>
      <x/>
      <x v="525"/>
    </i>
    <i r="2">
      <x v="526"/>
      <x v="2"/>
      <x/>
      <x/>
      <x v="526"/>
    </i>
    <i r="2">
      <x v="527"/>
      <x v="2"/>
      <x/>
      <x/>
      <x v="527"/>
    </i>
    <i r="2">
      <x v="528"/>
      <x v="2"/>
      <x/>
      <x/>
      <x v="528"/>
    </i>
    <i r="2">
      <x v="529"/>
      <x v="2"/>
      <x/>
      <x/>
      <x v="529"/>
    </i>
    <i r="2">
      <x v="530"/>
      <x v="2"/>
      <x/>
      <x/>
      <x v="530"/>
    </i>
    <i r="2">
      <x v="531"/>
      <x v="2"/>
      <x/>
      <x/>
      <x v="531"/>
    </i>
    <i r="2">
      <x v="532"/>
      <x/>
      <x/>
      <x/>
      <x v="532"/>
    </i>
    <i r="2">
      <x v="533"/>
      <x v="2"/>
      <x/>
      <x/>
      <x v="533"/>
    </i>
    <i r="2">
      <x v="534"/>
      <x v="2"/>
      <x/>
      <x/>
      <x v="534"/>
    </i>
    <i r="2">
      <x v="535"/>
      <x v="2"/>
      <x/>
      <x/>
      <x v="535"/>
    </i>
    <i r="2">
      <x v="536"/>
      <x v="2"/>
      <x/>
      <x/>
      <x v="536"/>
    </i>
    <i r="2">
      <x v="537"/>
      <x v="2"/>
      <x/>
      <x/>
      <x v="537"/>
    </i>
    <i r="2">
      <x v="538"/>
      <x v="2"/>
      <x/>
      <x/>
      <x v="538"/>
    </i>
    <i r="2">
      <x v="539"/>
      <x v="2"/>
      <x/>
      <x/>
      <x v="539"/>
    </i>
  </rowItems>
  <colItems count="1">
    <i/>
  </colItems>
  <formats count="28"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0" type="button" dataOnly="0" labelOnly="1" outline="0" axis="axisRow" fieldPosition="0"/>
    </format>
    <format dxfId="23">
      <pivotArea field="1" type="button" dataOnly="0" labelOnly="1" outline="0" axis="axisRow" fieldPosition="1"/>
    </format>
    <format dxfId="22">
      <pivotArea field="2" type="button" dataOnly="0" labelOnly="1" outline="0" axis="axisRow" fieldPosition="2"/>
    </format>
    <format dxfId="21">
      <pivotArea field="3" type="button" dataOnly="0" labelOnly="1" outline="0" axis="axisRow" fieldPosition="3"/>
    </format>
    <format dxfId="20">
      <pivotArea field="4" type="button" dataOnly="0" labelOnly="1" outline="0" axis="axisRow" fieldPosition="4"/>
    </format>
    <format dxfId="19">
      <pivotArea field="5" type="button" dataOnly="0" labelOnly="1" outline="0" axis="axisRow" fieldPosition="5"/>
    </format>
    <format dxfId="18">
      <pivotArea field="6" type="button" dataOnly="0" labelOnly="1" outline="0" axis="axisRow" fieldPosition="6"/>
    </format>
    <format dxfId="17">
      <pivotArea dataOnly="0" labelOnly="1" outline="0" fieldPosition="0">
        <references count="1">
          <reference field="0" count="0"/>
        </references>
      </pivotArea>
    </format>
    <format dxfId="1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5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14">
      <pivotArea type="topRight" dataOnly="0" labelOnly="1" outline="0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dataOnly="0" labelOnly="1" outline="0" fieldPosition="0">
        <references count="1">
          <reference field="0" count="0"/>
        </references>
      </pivotArea>
    </format>
    <format dxfId="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7">
      <pivotArea type="topRight" dataOnly="0" labelOnly="1" outline="0" fieldPosition="0"/>
    </format>
    <format dxfId="6">
      <pivotArea field="0" type="button" dataOnly="0" labelOnly="1" outline="0" axis="axisRow" fieldPosition="0"/>
    </format>
    <format dxfId="5">
      <pivotArea field="1" type="button" dataOnly="0" labelOnly="1" outline="0" axis="axisRow" fieldPosition="1"/>
    </format>
    <format dxfId="4">
      <pivotArea field="2" type="button" dataOnly="0" labelOnly="1" outline="0" axis="axisRow" fieldPosition="2"/>
    </format>
    <format dxfId="3">
      <pivotArea field="3" type="button" dataOnly="0" labelOnly="1" outline="0" axis="axisRow" fieldPosition="3"/>
    </format>
    <format dxfId="2">
      <pivotArea field="4" type="button" dataOnly="0" labelOnly="1" outline="0" axis="axisRow" fieldPosition="4"/>
    </format>
    <format dxfId="1">
      <pivotArea field="5" type="button" dataOnly="0" labelOnly="1" outline="0" axis="axisRow" fieldPosition="5"/>
    </format>
    <format dxfId="0">
      <pivotArea field="6" type="button" dataOnly="0" labelOnly="1" outline="0" axis="axisRow" fieldPosition="6"/>
    </format>
  </formats>
  <pivotTableStyleInfo name="PivotStyleLightCustom 2" showRowHeaders="0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eme23213">
  <a:themeElements>
    <a:clrScheme name="Geotab Brand Colors">
      <a:dk1>
        <a:srgbClr val="000000"/>
      </a:dk1>
      <a:lt1>
        <a:srgbClr val="FFFFFF"/>
      </a:lt1>
      <a:dk2>
        <a:srgbClr val="00AEEF"/>
      </a:dk2>
      <a:lt2>
        <a:srgbClr val="25477B"/>
      </a:lt2>
      <a:accent1>
        <a:srgbClr val="696A6C"/>
      </a:accent1>
      <a:accent2>
        <a:srgbClr val="93C83D"/>
      </a:accent2>
      <a:accent3>
        <a:srgbClr val="FAD201"/>
      </a:accent3>
      <a:accent4>
        <a:srgbClr val="FF9600"/>
      </a:accent4>
      <a:accent5>
        <a:srgbClr val="EA184D"/>
      </a:accent5>
      <a:accent6>
        <a:srgbClr val="B95FFF"/>
      </a:accent6>
      <a:hlink>
        <a:srgbClr val="00AEEF"/>
      </a:hlink>
      <a:folHlink>
        <a:srgbClr val="0082E3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61"/>
  <sheetViews>
    <sheetView workbookViewId="0">
      <pane ySplit="9" topLeftCell="A10" activePane="bottomLeft" state="frozen"/>
      <selection pane="bottomLeft" activeCell="B19" sqref="B19"/>
    </sheetView>
  </sheetViews>
  <sheetFormatPr defaultColWidth="8.85546875" defaultRowHeight="12.75" x14ac:dyDescent="0.2"/>
  <cols>
    <col min="1" max="1" width="35.42578125" customWidth="1"/>
    <col min="2" max="2" width="18.42578125" customWidth="1"/>
    <col min="3" max="3" width="14.140625" customWidth="1"/>
    <col min="4" max="5" width="13.85546875" customWidth="1"/>
    <col min="6" max="6" width="19" customWidth="1"/>
    <col min="7" max="7" width="25" customWidth="1"/>
    <col min="8" max="13" width="15" customWidth="1"/>
    <col min="14" max="15" width="14" customWidth="1"/>
    <col min="16" max="16" width="19" customWidth="1"/>
    <col min="17" max="17" width="13.85546875" customWidth="1"/>
  </cols>
  <sheetData>
    <row r="1" spans="1:17" x14ac:dyDescent="0.2">
      <c r="A1" s="4" t="s">
        <v>6</v>
      </c>
      <c r="B1" s="3" t="s">
        <v>329</v>
      </c>
    </row>
    <row r="2" spans="1:17" x14ac:dyDescent="0.2">
      <c r="A2" s="4" t="s">
        <v>3</v>
      </c>
      <c r="B2" s="3">
        <v>46091.357220196762</v>
      </c>
    </row>
    <row r="3" spans="1:17" x14ac:dyDescent="0.2">
      <c r="A3" s="4" t="s">
        <v>4</v>
      </c>
      <c r="B3" s="3">
        <v>46087</v>
      </c>
    </row>
    <row r="4" spans="1:17" x14ac:dyDescent="0.2">
      <c r="A4" s="4" t="s">
        <v>5</v>
      </c>
      <c r="B4" s="3">
        <v>46087.433321759258</v>
      </c>
    </row>
    <row r="5" spans="1:17" x14ac:dyDescent="0.2">
      <c r="A5" s="4" t="s">
        <v>111</v>
      </c>
      <c r="B5" s="3" t="s">
        <v>330</v>
      </c>
    </row>
    <row r="6" spans="1:17" x14ac:dyDescent="0.2">
      <c r="A6" s="4" t="s">
        <v>7</v>
      </c>
      <c r="B6" s="3" t="b">
        <v>1</v>
      </c>
    </row>
    <row r="7" spans="1:17" x14ac:dyDescent="0.2">
      <c r="A7" s="4" t="s">
        <v>8</v>
      </c>
      <c r="B7" s="3" t="s">
        <v>9</v>
      </c>
    </row>
    <row r="8" spans="1:17" x14ac:dyDescent="0.2">
      <c r="A8" s="4" t="s">
        <v>60</v>
      </c>
      <c r="B8" s="3" t="s">
        <v>331</v>
      </c>
    </row>
    <row r="9" spans="1:17" ht="37.5" thickBot="1" x14ac:dyDescent="0.25">
      <c r="A9" s="1" t="s">
        <v>332</v>
      </c>
      <c r="B9" s="1" t="s">
        <v>333</v>
      </c>
      <c r="C9" s="1" t="s">
        <v>334</v>
      </c>
      <c r="D9" s="1" t="s">
        <v>335</v>
      </c>
      <c r="E9" s="1" t="s">
        <v>231</v>
      </c>
      <c r="F9" s="1" t="s">
        <v>1</v>
      </c>
      <c r="G9" s="1" t="s">
        <v>336</v>
      </c>
      <c r="H9" s="1" t="s">
        <v>337</v>
      </c>
      <c r="I9" s="1" t="s">
        <v>338</v>
      </c>
      <c r="J9" s="1" t="s">
        <v>339</v>
      </c>
      <c r="K9" s="1" t="s">
        <v>340</v>
      </c>
      <c r="L9" s="1" t="s">
        <v>341</v>
      </c>
      <c r="M9" s="1" t="s">
        <v>342</v>
      </c>
      <c r="N9" s="1" t="s">
        <v>343</v>
      </c>
      <c r="O9" s="1" t="s">
        <v>73</v>
      </c>
      <c r="P9" s="1" t="s">
        <v>344</v>
      </c>
      <c r="Q9" s="1" t="s">
        <v>345</v>
      </c>
    </row>
    <row r="10" spans="1:17" x14ac:dyDescent="0.2">
      <c r="A10" s="2" t="s">
        <v>346</v>
      </c>
      <c r="B10" s="2" t="s">
        <v>347</v>
      </c>
      <c r="C10" s="2"/>
      <c r="D10" s="2" t="s">
        <v>348</v>
      </c>
      <c r="E10" s="2" t="s">
        <v>349</v>
      </c>
      <c r="F10" s="3">
        <v>46087.291260578706</v>
      </c>
      <c r="G10" s="2" t="s">
        <v>350</v>
      </c>
      <c r="H10" s="2" t="s">
        <v>351</v>
      </c>
      <c r="I10" s="2" t="s">
        <v>352</v>
      </c>
      <c r="J10" s="3" t="s">
        <v>95</v>
      </c>
      <c r="K10" s="2" t="s">
        <v>353</v>
      </c>
      <c r="L10" s="2"/>
      <c r="M10" s="2" t="s">
        <v>354</v>
      </c>
      <c r="N10" s="2">
        <v>78.66</v>
      </c>
      <c r="P10" s="2" t="s">
        <v>355</v>
      </c>
      <c r="Q10" s="2" t="s">
        <v>356</v>
      </c>
    </row>
    <row r="11" spans="1:17" x14ac:dyDescent="0.2">
      <c r="A11" s="2" t="s">
        <v>346</v>
      </c>
      <c r="B11" s="2" t="s">
        <v>347</v>
      </c>
      <c r="D11" s="2" t="s">
        <v>348</v>
      </c>
      <c r="E11" s="2" t="s">
        <v>349</v>
      </c>
      <c r="F11" s="3">
        <v>46087.29126121528</v>
      </c>
      <c r="G11" s="2" t="s">
        <v>357</v>
      </c>
      <c r="H11" s="2" t="s">
        <v>358</v>
      </c>
      <c r="I11" s="2" t="s">
        <v>359</v>
      </c>
      <c r="J11" s="3" t="s">
        <v>95</v>
      </c>
      <c r="K11" s="2" t="s">
        <v>353</v>
      </c>
      <c r="L11" s="2"/>
      <c r="M11" s="2" t="s">
        <v>354</v>
      </c>
      <c r="N11" s="2">
        <v>376</v>
      </c>
      <c r="P11" s="2" t="s">
        <v>360</v>
      </c>
      <c r="Q11" s="2" t="s">
        <v>361</v>
      </c>
    </row>
    <row r="12" spans="1:17" x14ac:dyDescent="0.2">
      <c r="A12" s="2" t="s">
        <v>346</v>
      </c>
      <c r="B12" s="2" t="s">
        <v>347</v>
      </c>
      <c r="D12" s="2" t="s">
        <v>348</v>
      </c>
      <c r="E12" s="2" t="s">
        <v>349</v>
      </c>
      <c r="F12" s="3">
        <v>46087.291261805556</v>
      </c>
      <c r="G12" s="2" t="s">
        <v>362</v>
      </c>
      <c r="H12" s="2" t="s">
        <v>363</v>
      </c>
      <c r="I12" s="2" t="s">
        <v>364</v>
      </c>
      <c r="J12" s="3" t="s">
        <v>95</v>
      </c>
      <c r="K12" s="2" t="s">
        <v>353</v>
      </c>
      <c r="L12" s="2"/>
      <c r="M12" s="2" t="s">
        <v>354</v>
      </c>
      <c r="N12" s="2">
        <v>564</v>
      </c>
      <c r="P12" s="2" t="s">
        <v>365</v>
      </c>
      <c r="Q12" s="2" t="s">
        <v>366</v>
      </c>
    </row>
    <row r="13" spans="1:17" x14ac:dyDescent="0.2">
      <c r="A13" s="2" t="s">
        <v>346</v>
      </c>
      <c r="B13" s="2" t="s">
        <v>347</v>
      </c>
      <c r="D13" s="2" t="s">
        <v>348</v>
      </c>
      <c r="E13" s="2" t="s">
        <v>349</v>
      </c>
      <c r="F13" s="3">
        <v>46087.29288144676</v>
      </c>
      <c r="G13" s="2" t="s">
        <v>350</v>
      </c>
      <c r="H13" s="2" t="s">
        <v>351</v>
      </c>
      <c r="I13" s="2" t="s">
        <v>352</v>
      </c>
      <c r="J13" s="3" t="s">
        <v>95</v>
      </c>
      <c r="K13" s="2" t="s">
        <v>353</v>
      </c>
      <c r="L13" s="2"/>
      <c r="M13" s="2" t="s">
        <v>354</v>
      </c>
      <c r="N13" s="2">
        <v>78.66</v>
      </c>
      <c r="P13" s="2" t="s">
        <v>355</v>
      </c>
      <c r="Q13" s="2" t="s">
        <v>356</v>
      </c>
    </row>
    <row r="14" spans="1:17" x14ac:dyDescent="0.2">
      <c r="A14" s="2" t="s">
        <v>346</v>
      </c>
      <c r="B14" s="2" t="s">
        <v>347</v>
      </c>
      <c r="D14" s="2" t="s">
        <v>348</v>
      </c>
      <c r="E14" s="2" t="s">
        <v>349</v>
      </c>
      <c r="F14" s="3">
        <v>46087.292972187497</v>
      </c>
      <c r="G14" s="2" t="s">
        <v>357</v>
      </c>
      <c r="H14" s="2" t="s">
        <v>358</v>
      </c>
      <c r="I14" s="2" t="s">
        <v>359</v>
      </c>
      <c r="J14" s="3" t="s">
        <v>95</v>
      </c>
      <c r="K14" s="2" t="s">
        <v>353</v>
      </c>
      <c r="L14" s="2"/>
      <c r="M14" s="2" t="s">
        <v>354</v>
      </c>
      <c r="N14" s="2">
        <v>376</v>
      </c>
      <c r="P14" s="2" t="s">
        <v>360</v>
      </c>
      <c r="Q14" s="2" t="s">
        <v>361</v>
      </c>
    </row>
    <row r="15" spans="1:17" x14ac:dyDescent="0.2">
      <c r="A15" s="2" t="s">
        <v>346</v>
      </c>
      <c r="B15" s="2" t="s">
        <v>347</v>
      </c>
      <c r="D15" s="2" t="s">
        <v>348</v>
      </c>
      <c r="E15" s="2" t="s">
        <v>349</v>
      </c>
      <c r="F15" s="3">
        <v>46087.292972824071</v>
      </c>
      <c r="G15" s="2" t="s">
        <v>362</v>
      </c>
      <c r="H15" s="2" t="s">
        <v>363</v>
      </c>
      <c r="I15" s="2" t="s">
        <v>364</v>
      </c>
      <c r="J15" s="3" t="s">
        <v>95</v>
      </c>
      <c r="K15" s="2" t="s">
        <v>353</v>
      </c>
      <c r="L15" s="2"/>
      <c r="M15" s="2" t="s">
        <v>354</v>
      </c>
      <c r="N15" s="2">
        <v>188</v>
      </c>
      <c r="P15" s="2" t="s">
        <v>365</v>
      </c>
      <c r="Q15" s="2" t="s">
        <v>366</v>
      </c>
    </row>
    <row r="16" spans="1:17" x14ac:dyDescent="0.2">
      <c r="A16" s="2" t="s">
        <v>346</v>
      </c>
      <c r="B16" s="2" t="s">
        <v>347</v>
      </c>
      <c r="D16" s="2" t="s">
        <v>348</v>
      </c>
      <c r="E16" s="2" t="s">
        <v>349</v>
      </c>
      <c r="F16" s="3">
        <v>46087.297998182868</v>
      </c>
      <c r="G16" s="2" t="s">
        <v>350</v>
      </c>
      <c r="H16" s="2" t="s">
        <v>351</v>
      </c>
      <c r="I16" s="2" t="s">
        <v>352</v>
      </c>
      <c r="J16" s="3" t="s">
        <v>95</v>
      </c>
      <c r="K16" s="2" t="s">
        <v>353</v>
      </c>
      <c r="L16" s="2"/>
      <c r="M16" s="2" t="s">
        <v>354</v>
      </c>
      <c r="N16" s="2">
        <v>78.66</v>
      </c>
      <c r="P16" s="2" t="s">
        <v>355</v>
      </c>
      <c r="Q16" s="2" t="s">
        <v>356</v>
      </c>
    </row>
    <row r="17" spans="1:17" x14ac:dyDescent="0.2">
      <c r="A17" s="2" t="s">
        <v>346</v>
      </c>
      <c r="B17" s="2" t="s">
        <v>347</v>
      </c>
      <c r="D17" s="2" t="s">
        <v>348</v>
      </c>
      <c r="E17" s="2" t="s">
        <v>349</v>
      </c>
      <c r="F17" s="3">
        <v>46087.297998993054</v>
      </c>
      <c r="G17" s="2" t="s">
        <v>357</v>
      </c>
      <c r="H17" s="2" t="s">
        <v>358</v>
      </c>
      <c r="I17" s="2" t="s">
        <v>359</v>
      </c>
      <c r="J17" s="3" t="s">
        <v>95</v>
      </c>
      <c r="K17" s="2" t="s">
        <v>353</v>
      </c>
      <c r="L17" s="2"/>
      <c r="M17" s="2" t="s">
        <v>354</v>
      </c>
      <c r="N17" s="2">
        <v>376</v>
      </c>
      <c r="P17" s="2" t="s">
        <v>360</v>
      </c>
      <c r="Q17" s="2" t="s">
        <v>361</v>
      </c>
    </row>
    <row r="18" spans="1:17" x14ac:dyDescent="0.2">
      <c r="A18" s="2" t="s">
        <v>346</v>
      </c>
      <c r="B18" s="2" t="s">
        <v>347</v>
      </c>
      <c r="D18" s="2" t="s">
        <v>348</v>
      </c>
      <c r="E18" s="2" t="s">
        <v>349</v>
      </c>
      <c r="F18" s="3">
        <v>46087.298000034723</v>
      </c>
      <c r="G18" s="2" t="s">
        <v>362</v>
      </c>
      <c r="H18" s="2" t="s">
        <v>363</v>
      </c>
      <c r="I18" s="2" t="s">
        <v>364</v>
      </c>
      <c r="J18" s="3" t="s">
        <v>95</v>
      </c>
      <c r="K18" s="2" t="s">
        <v>353</v>
      </c>
      <c r="L18" s="2"/>
      <c r="M18" s="2" t="s">
        <v>354</v>
      </c>
      <c r="N18" s="2">
        <v>376</v>
      </c>
      <c r="P18" s="2" t="s">
        <v>365</v>
      </c>
      <c r="Q18" s="2" t="s">
        <v>366</v>
      </c>
    </row>
    <row r="19" spans="1:17" x14ac:dyDescent="0.2">
      <c r="A19" s="2" t="s">
        <v>346</v>
      </c>
      <c r="B19" s="2" t="s">
        <v>347</v>
      </c>
      <c r="D19" s="2" t="s">
        <v>348</v>
      </c>
      <c r="E19" s="2" t="s">
        <v>349</v>
      </c>
      <c r="F19" s="3">
        <v>46087.298838344905</v>
      </c>
      <c r="G19" s="2" t="s">
        <v>362</v>
      </c>
      <c r="H19" s="2" t="s">
        <v>363</v>
      </c>
      <c r="I19" s="2" t="s">
        <v>364</v>
      </c>
      <c r="J19" s="3" t="s">
        <v>95</v>
      </c>
      <c r="K19" s="2" t="s">
        <v>353</v>
      </c>
      <c r="L19" s="2"/>
      <c r="M19" s="2" t="s">
        <v>354</v>
      </c>
      <c r="N19" s="2">
        <v>22134</v>
      </c>
      <c r="P19" s="2" t="s">
        <v>365</v>
      </c>
      <c r="Q19" s="2" t="s">
        <v>366</v>
      </c>
    </row>
    <row r="20" spans="1:17" x14ac:dyDescent="0.2">
      <c r="A20" s="2" t="s">
        <v>346</v>
      </c>
      <c r="B20" s="2" t="s">
        <v>347</v>
      </c>
      <c r="D20" s="2" t="s">
        <v>348</v>
      </c>
      <c r="E20" s="2" t="s">
        <v>349</v>
      </c>
      <c r="F20" s="3">
        <v>46087.29891972222</v>
      </c>
      <c r="G20" s="2" t="s">
        <v>362</v>
      </c>
      <c r="H20" s="2" t="s">
        <v>363</v>
      </c>
      <c r="I20" s="2" t="s">
        <v>364</v>
      </c>
      <c r="J20" s="3" t="s">
        <v>95</v>
      </c>
      <c r="K20" s="2" t="s">
        <v>353</v>
      </c>
      <c r="L20" s="2"/>
      <c r="M20" s="2" t="s">
        <v>354</v>
      </c>
      <c r="N20" s="2">
        <v>-26320</v>
      </c>
      <c r="P20" s="2" t="s">
        <v>365</v>
      </c>
      <c r="Q20" s="2" t="s">
        <v>366</v>
      </c>
    </row>
    <row r="21" spans="1:17" x14ac:dyDescent="0.2">
      <c r="A21" s="2" t="s">
        <v>346</v>
      </c>
      <c r="B21" s="2" t="s">
        <v>347</v>
      </c>
      <c r="D21" s="2" t="s">
        <v>348</v>
      </c>
      <c r="E21" s="2" t="s">
        <v>349</v>
      </c>
      <c r="F21" s="3">
        <v>46087.299001018517</v>
      </c>
      <c r="G21" s="2" t="s">
        <v>362</v>
      </c>
      <c r="H21" s="2" t="s">
        <v>363</v>
      </c>
      <c r="I21" s="2" t="s">
        <v>364</v>
      </c>
      <c r="J21" s="3" t="s">
        <v>95</v>
      </c>
      <c r="K21" s="2" t="s">
        <v>353</v>
      </c>
      <c r="L21" s="2"/>
      <c r="M21" s="2" t="s">
        <v>354</v>
      </c>
      <c r="N21" s="2">
        <v>19183</v>
      </c>
      <c r="P21" s="2" t="s">
        <v>365</v>
      </c>
      <c r="Q21" s="2" t="s">
        <v>366</v>
      </c>
    </row>
    <row r="22" spans="1:17" x14ac:dyDescent="0.2">
      <c r="A22" s="2" t="s">
        <v>346</v>
      </c>
      <c r="B22" s="2" t="s">
        <v>347</v>
      </c>
      <c r="D22" s="2" t="s">
        <v>348</v>
      </c>
      <c r="E22" s="2" t="s">
        <v>349</v>
      </c>
      <c r="F22" s="3">
        <v>46087.299071631947</v>
      </c>
      <c r="G22" s="2" t="s">
        <v>362</v>
      </c>
      <c r="H22" s="2" t="s">
        <v>363</v>
      </c>
      <c r="I22" s="2" t="s">
        <v>364</v>
      </c>
      <c r="J22" s="3" t="s">
        <v>95</v>
      </c>
      <c r="K22" s="2" t="s">
        <v>353</v>
      </c>
      <c r="L22" s="2"/>
      <c r="M22" s="2" t="s">
        <v>354</v>
      </c>
      <c r="N22" s="2">
        <v>-23027</v>
      </c>
      <c r="P22" s="2" t="s">
        <v>365</v>
      </c>
      <c r="Q22" s="2" t="s">
        <v>366</v>
      </c>
    </row>
    <row r="23" spans="1:17" x14ac:dyDescent="0.2">
      <c r="A23" s="2" t="s">
        <v>346</v>
      </c>
      <c r="B23" s="2" t="s">
        <v>347</v>
      </c>
      <c r="D23" s="2" t="s">
        <v>348</v>
      </c>
      <c r="E23" s="2" t="s">
        <v>349</v>
      </c>
      <c r="F23" s="3">
        <v>46087.299240405089</v>
      </c>
      <c r="G23" s="2" t="s">
        <v>362</v>
      </c>
      <c r="H23" s="2" t="s">
        <v>363</v>
      </c>
      <c r="I23" s="2" t="s">
        <v>364</v>
      </c>
      <c r="J23" s="3" t="s">
        <v>95</v>
      </c>
      <c r="K23" s="2" t="s">
        <v>353</v>
      </c>
      <c r="L23" s="2"/>
      <c r="M23" s="2" t="s">
        <v>354</v>
      </c>
      <c r="N23" s="2">
        <v>-29585</v>
      </c>
      <c r="P23" s="2" t="s">
        <v>365</v>
      </c>
      <c r="Q23" s="2" t="s">
        <v>366</v>
      </c>
    </row>
    <row r="24" spans="1:17" x14ac:dyDescent="0.2">
      <c r="A24" s="2" t="s">
        <v>346</v>
      </c>
      <c r="B24" s="2" t="s">
        <v>347</v>
      </c>
      <c r="D24" s="2" t="s">
        <v>348</v>
      </c>
      <c r="E24" s="2" t="s">
        <v>349</v>
      </c>
      <c r="F24" s="3">
        <v>46087.299287881942</v>
      </c>
      <c r="G24" s="2" t="s">
        <v>362</v>
      </c>
      <c r="H24" s="2" t="s">
        <v>363</v>
      </c>
      <c r="I24" s="2" t="s">
        <v>364</v>
      </c>
      <c r="J24" s="3" t="s">
        <v>95</v>
      </c>
      <c r="K24" s="2" t="s">
        <v>353</v>
      </c>
      <c r="L24" s="2"/>
      <c r="M24" s="2" t="s">
        <v>354</v>
      </c>
      <c r="N24" s="2">
        <v>0</v>
      </c>
      <c r="P24" s="2" t="s">
        <v>365</v>
      </c>
      <c r="Q24" s="2" t="s">
        <v>366</v>
      </c>
    </row>
    <row r="25" spans="1:17" x14ac:dyDescent="0.2">
      <c r="A25" s="2" t="s">
        <v>346</v>
      </c>
      <c r="B25" s="2" t="s">
        <v>347</v>
      </c>
      <c r="D25" s="2" t="s">
        <v>348</v>
      </c>
      <c r="E25" s="2" t="s">
        <v>349</v>
      </c>
      <c r="F25" s="3">
        <v>46087.299742569441</v>
      </c>
      <c r="G25" s="2" t="s">
        <v>362</v>
      </c>
      <c r="H25" s="2" t="s">
        <v>363</v>
      </c>
      <c r="I25" s="2" t="s">
        <v>364</v>
      </c>
      <c r="J25" s="3" t="s">
        <v>95</v>
      </c>
      <c r="K25" s="2" t="s">
        <v>353</v>
      </c>
      <c r="L25" s="2"/>
      <c r="M25" s="2" t="s">
        <v>354</v>
      </c>
      <c r="N25" s="2">
        <v>20673</v>
      </c>
      <c r="P25" s="2" t="s">
        <v>365</v>
      </c>
      <c r="Q25" s="2" t="s">
        <v>366</v>
      </c>
    </row>
    <row r="26" spans="1:17" x14ac:dyDescent="0.2">
      <c r="A26" s="2" t="s">
        <v>346</v>
      </c>
      <c r="B26" s="2" t="s">
        <v>347</v>
      </c>
      <c r="D26" s="2" t="s">
        <v>348</v>
      </c>
      <c r="E26" s="2" t="s">
        <v>349</v>
      </c>
      <c r="F26" s="3">
        <v>46087.299848182869</v>
      </c>
      <c r="G26" s="2" t="s">
        <v>362</v>
      </c>
      <c r="H26" s="2" t="s">
        <v>363</v>
      </c>
      <c r="I26" s="2" t="s">
        <v>364</v>
      </c>
      <c r="J26" s="3" t="s">
        <v>95</v>
      </c>
      <c r="K26" s="2" t="s">
        <v>353</v>
      </c>
      <c r="L26" s="2"/>
      <c r="M26" s="2" t="s">
        <v>354</v>
      </c>
      <c r="N26" s="2">
        <v>-31563</v>
      </c>
      <c r="P26" s="2" t="s">
        <v>365</v>
      </c>
      <c r="Q26" s="2" t="s">
        <v>366</v>
      </c>
    </row>
    <row r="27" spans="1:17" x14ac:dyDescent="0.2">
      <c r="A27" s="2" t="s">
        <v>346</v>
      </c>
      <c r="B27" s="2" t="s">
        <v>347</v>
      </c>
      <c r="D27" s="2" t="s">
        <v>348</v>
      </c>
      <c r="E27" s="2" t="s">
        <v>349</v>
      </c>
      <c r="F27" s="3">
        <v>46087.299894571763</v>
      </c>
      <c r="G27" s="2" t="s">
        <v>362</v>
      </c>
      <c r="H27" s="2" t="s">
        <v>363</v>
      </c>
      <c r="I27" s="2" t="s">
        <v>364</v>
      </c>
      <c r="J27" s="3" t="s">
        <v>95</v>
      </c>
      <c r="K27" s="2" t="s">
        <v>353</v>
      </c>
      <c r="L27" s="2"/>
      <c r="M27" s="2" t="s">
        <v>354</v>
      </c>
      <c r="N27" s="2">
        <v>24000</v>
      </c>
      <c r="P27" s="2" t="s">
        <v>365</v>
      </c>
      <c r="Q27" s="2" t="s">
        <v>366</v>
      </c>
    </row>
    <row r="28" spans="1:17" x14ac:dyDescent="0.2">
      <c r="A28" s="2" t="s">
        <v>346</v>
      </c>
      <c r="B28" s="2" t="s">
        <v>347</v>
      </c>
      <c r="D28" s="2" t="s">
        <v>348</v>
      </c>
      <c r="E28" s="2" t="s">
        <v>349</v>
      </c>
      <c r="F28" s="3">
        <v>46087.299987662038</v>
      </c>
      <c r="G28" s="2" t="s">
        <v>362</v>
      </c>
      <c r="H28" s="2" t="s">
        <v>363</v>
      </c>
      <c r="I28" s="2" t="s">
        <v>364</v>
      </c>
      <c r="J28" s="3" t="s">
        <v>95</v>
      </c>
      <c r="K28" s="2" t="s">
        <v>353</v>
      </c>
      <c r="L28" s="2"/>
      <c r="M28" s="2" t="s">
        <v>354</v>
      </c>
      <c r="N28" s="2">
        <v>-16875</v>
      </c>
      <c r="P28" s="2" t="s">
        <v>365</v>
      </c>
      <c r="Q28" s="2" t="s">
        <v>366</v>
      </c>
    </row>
    <row r="29" spans="1:17" x14ac:dyDescent="0.2">
      <c r="A29" s="2" t="s">
        <v>346</v>
      </c>
      <c r="B29" s="2" t="s">
        <v>347</v>
      </c>
      <c r="D29" s="2" t="s">
        <v>348</v>
      </c>
      <c r="E29" s="2" t="s">
        <v>349</v>
      </c>
      <c r="F29" s="3">
        <v>46087.300034085645</v>
      </c>
      <c r="G29" s="2" t="s">
        <v>362</v>
      </c>
      <c r="H29" s="2" t="s">
        <v>363</v>
      </c>
      <c r="I29" s="2" t="s">
        <v>364</v>
      </c>
      <c r="J29" s="3" t="s">
        <v>95</v>
      </c>
      <c r="K29" s="2" t="s">
        <v>353</v>
      </c>
      <c r="L29" s="2"/>
      <c r="M29" s="2" t="s">
        <v>354</v>
      </c>
      <c r="N29" s="2">
        <v>19396</v>
      </c>
      <c r="P29" s="2" t="s">
        <v>365</v>
      </c>
      <c r="Q29" s="2" t="s">
        <v>366</v>
      </c>
    </row>
    <row r="30" spans="1:17" x14ac:dyDescent="0.2">
      <c r="A30" s="2" t="s">
        <v>346</v>
      </c>
      <c r="B30" s="2" t="s">
        <v>347</v>
      </c>
      <c r="D30" s="2" t="s">
        <v>348</v>
      </c>
      <c r="E30" s="2" t="s">
        <v>349</v>
      </c>
      <c r="F30" s="3">
        <v>46087.300185138891</v>
      </c>
      <c r="G30" s="2" t="s">
        <v>362</v>
      </c>
      <c r="H30" s="2" t="s">
        <v>363</v>
      </c>
      <c r="I30" s="2" t="s">
        <v>364</v>
      </c>
      <c r="J30" s="3" t="s">
        <v>95</v>
      </c>
      <c r="K30" s="2" t="s">
        <v>353</v>
      </c>
      <c r="L30" s="2"/>
      <c r="M30" s="2" t="s">
        <v>354</v>
      </c>
      <c r="N30" s="2">
        <v>-749</v>
      </c>
      <c r="P30" s="2" t="s">
        <v>365</v>
      </c>
      <c r="Q30" s="2" t="s">
        <v>366</v>
      </c>
    </row>
    <row r="31" spans="1:17" x14ac:dyDescent="0.2">
      <c r="A31" s="2" t="s">
        <v>346</v>
      </c>
      <c r="B31" s="2" t="s">
        <v>347</v>
      </c>
      <c r="D31" s="2" t="s">
        <v>348</v>
      </c>
      <c r="E31" s="2" t="s">
        <v>349</v>
      </c>
      <c r="F31" s="3">
        <v>46087.300266469909</v>
      </c>
      <c r="G31" s="2" t="s">
        <v>362</v>
      </c>
      <c r="H31" s="2" t="s">
        <v>363</v>
      </c>
      <c r="I31" s="2" t="s">
        <v>364</v>
      </c>
      <c r="J31" s="3" t="s">
        <v>95</v>
      </c>
      <c r="K31" s="2" t="s">
        <v>353</v>
      </c>
      <c r="L31" s="2"/>
      <c r="M31" s="2" t="s">
        <v>354</v>
      </c>
      <c r="N31" s="2">
        <v>32560</v>
      </c>
      <c r="P31" s="2" t="s">
        <v>365</v>
      </c>
      <c r="Q31" s="2" t="s">
        <v>366</v>
      </c>
    </row>
    <row r="32" spans="1:17" x14ac:dyDescent="0.2">
      <c r="A32" s="2" t="s">
        <v>346</v>
      </c>
      <c r="B32" s="2" t="s">
        <v>347</v>
      </c>
      <c r="D32" s="2" t="s">
        <v>348</v>
      </c>
      <c r="E32" s="2" t="s">
        <v>349</v>
      </c>
      <c r="F32" s="3">
        <v>46087.300278414354</v>
      </c>
      <c r="G32" s="2" t="s">
        <v>362</v>
      </c>
      <c r="H32" s="2" t="s">
        <v>363</v>
      </c>
      <c r="I32" s="2" t="s">
        <v>364</v>
      </c>
      <c r="J32" s="3" t="s">
        <v>95</v>
      </c>
      <c r="K32" s="2" t="s">
        <v>353</v>
      </c>
      <c r="L32" s="2"/>
      <c r="M32" s="2" t="s">
        <v>354</v>
      </c>
      <c r="N32" s="2">
        <v>2586</v>
      </c>
      <c r="P32" s="2" t="s">
        <v>365</v>
      </c>
      <c r="Q32" s="2" t="s">
        <v>366</v>
      </c>
    </row>
    <row r="33" spans="1:17" x14ac:dyDescent="0.2">
      <c r="A33" s="2" t="s">
        <v>346</v>
      </c>
      <c r="B33" s="2" t="s">
        <v>347</v>
      </c>
      <c r="D33" s="2" t="s">
        <v>348</v>
      </c>
      <c r="E33" s="2" t="s">
        <v>349</v>
      </c>
      <c r="F33" s="3">
        <v>46087.301742708332</v>
      </c>
      <c r="G33" s="2" t="s">
        <v>362</v>
      </c>
      <c r="H33" s="2" t="s">
        <v>363</v>
      </c>
      <c r="I33" s="2" t="s">
        <v>364</v>
      </c>
      <c r="J33" s="3" t="s">
        <v>95</v>
      </c>
      <c r="K33" s="2" t="s">
        <v>353</v>
      </c>
      <c r="L33" s="2"/>
      <c r="M33" s="2" t="s">
        <v>354</v>
      </c>
      <c r="N33" s="2">
        <v>-370</v>
      </c>
      <c r="P33" s="2" t="s">
        <v>365</v>
      </c>
      <c r="Q33" s="2" t="s">
        <v>366</v>
      </c>
    </row>
    <row r="34" spans="1:17" x14ac:dyDescent="0.2">
      <c r="A34" s="2" t="s">
        <v>346</v>
      </c>
      <c r="B34" s="2" t="s">
        <v>347</v>
      </c>
      <c r="D34" s="2" t="s">
        <v>348</v>
      </c>
      <c r="E34" s="2" t="s">
        <v>349</v>
      </c>
      <c r="F34" s="3">
        <v>46087.301824178241</v>
      </c>
      <c r="G34" s="2" t="s">
        <v>362</v>
      </c>
      <c r="H34" s="2" t="s">
        <v>363</v>
      </c>
      <c r="I34" s="2" t="s">
        <v>364</v>
      </c>
      <c r="J34" s="3" t="s">
        <v>95</v>
      </c>
      <c r="K34" s="2" t="s">
        <v>353</v>
      </c>
      <c r="L34" s="2"/>
      <c r="M34" s="2" t="s">
        <v>354</v>
      </c>
      <c r="N34" s="2">
        <v>33394</v>
      </c>
      <c r="P34" s="2" t="s">
        <v>365</v>
      </c>
      <c r="Q34" s="2" t="s">
        <v>366</v>
      </c>
    </row>
    <row r="35" spans="1:17" x14ac:dyDescent="0.2">
      <c r="A35" s="2" t="s">
        <v>346</v>
      </c>
      <c r="B35" s="2" t="s">
        <v>347</v>
      </c>
      <c r="D35" s="2" t="s">
        <v>348</v>
      </c>
      <c r="E35" s="2" t="s">
        <v>349</v>
      </c>
      <c r="F35" s="3">
        <v>46087.301893900461</v>
      </c>
      <c r="G35" s="2" t="s">
        <v>362</v>
      </c>
      <c r="H35" s="2" t="s">
        <v>363</v>
      </c>
      <c r="I35" s="2" t="s">
        <v>364</v>
      </c>
      <c r="J35" s="3" t="s">
        <v>95</v>
      </c>
      <c r="K35" s="2" t="s">
        <v>353</v>
      </c>
      <c r="L35" s="2"/>
      <c r="M35" s="2" t="s">
        <v>354</v>
      </c>
      <c r="N35" s="2">
        <v>-18090</v>
      </c>
      <c r="P35" s="2" t="s">
        <v>365</v>
      </c>
      <c r="Q35" s="2" t="s">
        <v>366</v>
      </c>
    </row>
    <row r="36" spans="1:17" x14ac:dyDescent="0.2">
      <c r="A36" s="2" t="s">
        <v>346</v>
      </c>
      <c r="B36" s="2" t="s">
        <v>347</v>
      </c>
      <c r="D36" s="2" t="s">
        <v>348</v>
      </c>
      <c r="E36" s="2" t="s">
        <v>349</v>
      </c>
      <c r="F36" s="3">
        <v>46087.301975324073</v>
      </c>
      <c r="G36" s="2" t="s">
        <v>362</v>
      </c>
      <c r="H36" s="2" t="s">
        <v>363</v>
      </c>
      <c r="I36" s="2" t="s">
        <v>364</v>
      </c>
      <c r="J36" s="3" t="s">
        <v>95</v>
      </c>
      <c r="K36" s="2" t="s">
        <v>353</v>
      </c>
      <c r="L36" s="2"/>
      <c r="M36" s="2" t="s">
        <v>354</v>
      </c>
      <c r="N36" s="2">
        <v>29190</v>
      </c>
      <c r="P36" s="2" t="s">
        <v>365</v>
      </c>
      <c r="Q36" s="2" t="s">
        <v>366</v>
      </c>
    </row>
    <row r="37" spans="1:17" x14ac:dyDescent="0.2">
      <c r="A37" s="2" t="s">
        <v>346</v>
      </c>
      <c r="B37" s="2" t="s">
        <v>347</v>
      </c>
      <c r="D37" s="2" t="s">
        <v>348</v>
      </c>
      <c r="E37" s="2" t="s">
        <v>349</v>
      </c>
      <c r="F37" s="3">
        <v>46087.30202185185</v>
      </c>
      <c r="G37" s="2" t="s">
        <v>362</v>
      </c>
      <c r="H37" s="2" t="s">
        <v>363</v>
      </c>
      <c r="I37" s="2" t="s">
        <v>364</v>
      </c>
      <c r="J37" s="3" t="s">
        <v>95</v>
      </c>
      <c r="K37" s="2" t="s">
        <v>353</v>
      </c>
      <c r="L37" s="2"/>
      <c r="M37" s="2" t="s">
        <v>354</v>
      </c>
      <c r="N37" s="2">
        <v>-33428</v>
      </c>
      <c r="P37" s="2" t="s">
        <v>365</v>
      </c>
      <c r="Q37" s="2" t="s">
        <v>366</v>
      </c>
    </row>
    <row r="38" spans="1:17" x14ac:dyDescent="0.2">
      <c r="A38" s="2" t="s">
        <v>346</v>
      </c>
      <c r="B38" s="2" t="s">
        <v>347</v>
      </c>
      <c r="D38" s="2" t="s">
        <v>348</v>
      </c>
      <c r="E38" s="2" t="s">
        <v>349</v>
      </c>
      <c r="F38" s="3">
        <v>46087.302045081022</v>
      </c>
      <c r="G38" s="2" t="s">
        <v>362</v>
      </c>
      <c r="H38" s="2" t="s">
        <v>363</v>
      </c>
      <c r="I38" s="2" t="s">
        <v>364</v>
      </c>
      <c r="J38" s="3" t="s">
        <v>95</v>
      </c>
      <c r="K38" s="2" t="s">
        <v>353</v>
      </c>
      <c r="L38" s="2"/>
      <c r="M38" s="2" t="s">
        <v>354</v>
      </c>
      <c r="N38" s="2">
        <v>-564</v>
      </c>
      <c r="P38" s="2" t="s">
        <v>365</v>
      </c>
      <c r="Q38" s="2" t="s">
        <v>366</v>
      </c>
    </row>
    <row r="39" spans="1:17" x14ac:dyDescent="0.2">
      <c r="A39" s="2" t="s">
        <v>346</v>
      </c>
      <c r="B39" s="2" t="s">
        <v>347</v>
      </c>
      <c r="D39" s="2" t="s">
        <v>348</v>
      </c>
      <c r="E39" s="2" t="s">
        <v>349</v>
      </c>
      <c r="F39" s="3">
        <v>46087.302196087963</v>
      </c>
      <c r="G39" s="2" t="s">
        <v>362</v>
      </c>
      <c r="H39" s="2" t="s">
        <v>363</v>
      </c>
      <c r="I39" s="2" t="s">
        <v>364</v>
      </c>
      <c r="J39" s="3" t="s">
        <v>95</v>
      </c>
      <c r="K39" s="2" t="s">
        <v>353</v>
      </c>
      <c r="L39" s="2"/>
      <c r="M39" s="2" t="s">
        <v>354</v>
      </c>
      <c r="N39" s="2">
        <v>13950</v>
      </c>
      <c r="P39" s="2" t="s">
        <v>365</v>
      </c>
      <c r="Q39" s="2" t="s">
        <v>366</v>
      </c>
    </row>
    <row r="40" spans="1:17" x14ac:dyDescent="0.2">
      <c r="A40" s="2" t="s">
        <v>346</v>
      </c>
      <c r="B40" s="2" t="s">
        <v>347</v>
      </c>
      <c r="D40" s="2" t="s">
        <v>348</v>
      </c>
      <c r="E40" s="2" t="s">
        <v>349</v>
      </c>
      <c r="F40" s="3">
        <v>46087.302219467594</v>
      </c>
      <c r="G40" s="2" t="s">
        <v>362</v>
      </c>
      <c r="H40" s="2" t="s">
        <v>363</v>
      </c>
      <c r="I40" s="2" t="s">
        <v>364</v>
      </c>
      <c r="J40" s="3" t="s">
        <v>95</v>
      </c>
      <c r="K40" s="2" t="s">
        <v>353</v>
      </c>
      <c r="L40" s="2"/>
      <c r="M40" s="2" t="s">
        <v>354</v>
      </c>
      <c r="N40" s="2">
        <v>-29427</v>
      </c>
      <c r="P40" s="2" t="s">
        <v>365</v>
      </c>
      <c r="Q40" s="2" t="s">
        <v>366</v>
      </c>
    </row>
    <row r="41" spans="1:17" x14ac:dyDescent="0.2">
      <c r="A41" s="2" t="s">
        <v>346</v>
      </c>
      <c r="B41" s="2" t="s">
        <v>347</v>
      </c>
      <c r="D41" s="2" t="s">
        <v>348</v>
      </c>
      <c r="E41" s="2" t="s">
        <v>349</v>
      </c>
      <c r="F41" s="3">
        <v>46087.302324131946</v>
      </c>
      <c r="G41" s="2" t="s">
        <v>362</v>
      </c>
      <c r="H41" s="2" t="s">
        <v>363</v>
      </c>
      <c r="I41" s="2" t="s">
        <v>364</v>
      </c>
      <c r="J41" s="3" t="s">
        <v>95</v>
      </c>
      <c r="K41" s="2" t="s">
        <v>353</v>
      </c>
      <c r="L41" s="2"/>
      <c r="M41" s="2" t="s">
        <v>354</v>
      </c>
      <c r="N41" s="2">
        <v>18042</v>
      </c>
      <c r="P41" s="2" t="s">
        <v>365</v>
      </c>
      <c r="Q41" s="2" t="s">
        <v>366</v>
      </c>
    </row>
    <row r="42" spans="1:17" x14ac:dyDescent="0.2">
      <c r="A42" s="2" t="s">
        <v>346</v>
      </c>
      <c r="B42" s="2" t="s">
        <v>347</v>
      </c>
      <c r="D42" s="2" t="s">
        <v>348</v>
      </c>
      <c r="E42" s="2" t="s">
        <v>349</v>
      </c>
      <c r="F42" s="3">
        <v>46087.302637939814</v>
      </c>
      <c r="G42" s="2" t="s">
        <v>362</v>
      </c>
      <c r="H42" s="2" t="s">
        <v>363</v>
      </c>
      <c r="I42" s="2" t="s">
        <v>364</v>
      </c>
      <c r="J42" s="3" t="s">
        <v>95</v>
      </c>
      <c r="K42" s="2" t="s">
        <v>353</v>
      </c>
      <c r="L42" s="2"/>
      <c r="M42" s="2" t="s">
        <v>354</v>
      </c>
      <c r="N42" s="2">
        <v>-20542</v>
      </c>
      <c r="P42" s="2" t="s">
        <v>365</v>
      </c>
      <c r="Q42" s="2" t="s">
        <v>366</v>
      </c>
    </row>
    <row r="43" spans="1:17" x14ac:dyDescent="0.2">
      <c r="A43" s="2" t="s">
        <v>346</v>
      </c>
      <c r="B43" s="2" t="s">
        <v>347</v>
      </c>
      <c r="D43" s="2" t="s">
        <v>348</v>
      </c>
      <c r="E43" s="2" t="s">
        <v>349</v>
      </c>
      <c r="F43" s="3">
        <v>46087.302651550926</v>
      </c>
      <c r="G43" s="2" t="s">
        <v>350</v>
      </c>
      <c r="H43" s="2" t="s">
        <v>351</v>
      </c>
      <c r="I43" s="2" t="s">
        <v>352</v>
      </c>
      <c r="J43" s="3" t="s">
        <v>95</v>
      </c>
      <c r="K43" s="2" t="s">
        <v>353</v>
      </c>
      <c r="L43" s="2"/>
      <c r="M43" s="2" t="s">
        <v>354</v>
      </c>
      <c r="N43" s="2">
        <v>77.56</v>
      </c>
      <c r="P43" s="2" t="s">
        <v>355</v>
      </c>
      <c r="Q43" s="2" t="s">
        <v>356</v>
      </c>
    </row>
    <row r="44" spans="1:17" x14ac:dyDescent="0.2">
      <c r="A44" s="2" t="s">
        <v>346</v>
      </c>
      <c r="B44" s="2" t="s">
        <v>347</v>
      </c>
      <c r="D44" s="2" t="s">
        <v>348</v>
      </c>
      <c r="E44" s="2" t="s">
        <v>349</v>
      </c>
      <c r="F44" s="3">
        <v>46087.302661226851</v>
      </c>
      <c r="G44" s="2" t="s">
        <v>362</v>
      </c>
      <c r="H44" s="2" t="s">
        <v>363</v>
      </c>
      <c r="I44" s="2" t="s">
        <v>364</v>
      </c>
      <c r="J44" s="3" t="s">
        <v>95</v>
      </c>
      <c r="K44" s="2" t="s">
        <v>353</v>
      </c>
      <c r="L44" s="2"/>
      <c r="M44" s="2" t="s">
        <v>354</v>
      </c>
      <c r="N44" s="2">
        <v>12885</v>
      </c>
      <c r="P44" s="2" t="s">
        <v>365</v>
      </c>
      <c r="Q44" s="2" t="s">
        <v>366</v>
      </c>
    </row>
    <row r="45" spans="1:17" x14ac:dyDescent="0.2">
      <c r="A45" s="2" t="s">
        <v>346</v>
      </c>
      <c r="B45" s="2" t="s">
        <v>347</v>
      </c>
      <c r="D45" s="2" t="s">
        <v>348</v>
      </c>
      <c r="E45" s="2" t="s">
        <v>349</v>
      </c>
      <c r="F45" s="3">
        <v>46087.302893784719</v>
      </c>
      <c r="G45" s="2" t="s">
        <v>362</v>
      </c>
      <c r="H45" s="2" t="s">
        <v>363</v>
      </c>
      <c r="I45" s="2" t="s">
        <v>364</v>
      </c>
      <c r="J45" s="3" t="s">
        <v>95</v>
      </c>
      <c r="K45" s="2" t="s">
        <v>353</v>
      </c>
      <c r="L45" s="2"/>
      <c r="M45" s="2" t="s">
        <v>354</v>
      </c>
      <c r="N45" s="2">
        <v>30668</v>
      </c>
      <c r="P45" s="2" t="s">
        <v>365</v>
      </c>
      <c r="Q45" s="2" t="s">
        <v>366</v>
      </c>
    </row>
    <row r="46" spans="1:17" x14ac:dyDescent="0.2">
      <c r="A46" s="2" t="s">
        <v>346</v>
      </c>
      <c r="B46" s="2" t="s">
        <v>347</v>
      </c>
      <c r="D46" s="2" t="s">
        <v>348</v>
      </c>
      <c r="E46" s="2" t="s">
        <v>349</v>
      </c>
      <c r="F46" s="3">
        <v>46087.302951979167</v>
      </c>
      <c r="G46" s="2" t="s">
        <v>362</v>
      </c>
      <c r="H46" s="2" t="s">
        <v>363</v>
      </c>
      <c r="I46" s="2" t="s">
        <v>364</v>
      </c>
      <c r="J46" s="3" t="s">
        <v>95</v>
      </c>
      <c r="K46" s="2" t="s">
        <v>353</v>
      </c>
      <c r="L46" s="2"/>
      <c r="M46" s="2" t="s">
        <v>354</v>
      </c>
      <c r="N46" s="2">
        <v>-7843</v>
      </c>
      <c r="P46" s="2" t="s">
        <v>365</v>
      </c>
      <c r="Q46" s="2" t="s">
        <v>366</v>
      </c>
    </row>
    <row r="47" spans="1:17" x14ac:dyDescent="0.2">
      <c r="A47" s="2" t="s">
        <v>346</v>
      </c>
      <c r="B47" s="2" t="s">
        <v>347</v>
      </c>
      <c r="D47" s="2" t="s">
        <v>348</v>
      </c>
      <c r="E47" s="2" t="s">
        <v>349</v>
      </c>
      <c r="F47" s="3">
        <v>46087.302998368054</v>
      </c>
      <c r="G47" s="2" t="s">
        <v>362</v>
      </c>
      <c r="H47" s="2" t="s">
        <v>363</v>
      </c>
      <c r="I47" s="2" t="s">
        <v>364</v>
      </c>
      <c r="J47" s="3" t="s">
        <v>95</v>
      </c>
      <c r="K47" s="2" t="s">
        <v>353</v>
      </c>
      <c r="L47" s="2"/>
      <c r="M47" s="2" t="s">
        <v>354</v>
      </c>
      <c r="N47" s="2">
        <v>25228</v>
      </c>
      <c r="P47" s="2" t="s">
        <v>365</v>
      </c>
      <c r="Q47" s="2" t="s">
        <v>366</v>
      </c>
    </row>
    <row r="48" spans="1:17" x14ac:dyDescent="0.2">
      <c r="A48" s="2" t="s">
        <v>346</v>
      </c>
      <c r="B48" s="2" t="s">
        <v>347</v>
      </c>
      <c r="D48" s="2" t="s">
        <v>348</v>
      </c>
      <c r="E48" s="2" t="s">
        <v>349</v>
      </c>
      <c r="F48" s="3">
        <v>46087.303056817131</v>
      </c>
      <c r="G48" s="2" t="s">
        <v>362</v>
      </c>
      <c r="H48" s="2" t="s">
        <v>363</v>
      </c>
      <c r="I48" s="2" t="s">
        <v>364</v>
      </c>
      <c r="J48" s="3" t="s">
        <v>95</v>
      </c>
      <c r="K48" s="2" t="s">
        <v>353</v>
      </c>
      <c r="L48" s="2"/>
      <c r="M48" s="2" t="s">
        <v>354</v>
      </c>
      <c r="N48" s="2">
        <v>-6891</v>
      </c>
      <c r="P48" s="2" t="s">
        <v>365</v>
      </c>
      <c r="Q48" s="2" t="s">
        <v>366</v>
      </c>
    </row>
    <row r="49" spans="1:17" x14ac:dyDescent="0.2">
      <c r="A49" s="2" t="s">
        <v>346</v>
      </c>
      <c r="B49" s="2" t="s">
        <v>347</v>
      </c>
      <c r="D49" s="2" t="s">
        <v>348</v>
      </c>
      <c r="E49" s="2" t="s">
        <v>349</v>
      </c>
      <c r="F49" s="3">
        <v>46087.303219988426</v>
      </c>
      <c r="G49" s="2" t="s">
        <v>362</v>
      </c>
      <c r="H49" s="2" t="s">
        <v>363</v>
      </c>
      <c r="I49" s="2" t="s">
        <v>364</v>
      </c>
      <c r="J49" s="3" t="s">
        <v>95</v>
      </c>
      <c r="K49" s="2" t="s">
        <v>353</v>
      </c>
      <c r="L49" s="2"/>
      <c r="M49" s="2" t="s">
        <v>354</v>
      </c>
      <c r="N49" s="2">
        <v>23341</v>
      </c>
      <c r="P49" s="2" t="s">
        <v>365</v>
      </c>
      <c r="Q49" s="2" t="s">
        <v>366</v>
      </c>
    </row>
    <row r="50" spans="1:17" x14ac:dyDescent="0.2">
      <c r="A50" s="2" t="s">
        <v>346</v>
      </c>
      <c r="B50" s="2" t="s">
        <v>347</v>
      </c>
      <c r="D50" s="2" t="s">
        <v>348</v>
      </c>
      <c r="E50" s="2" t="s">
        <v>349</v>
      </c>
      <c r="F50" s="3">
        <v>46087.305311782409</v>
      </c>
      <c r="G50" s="2" t="s">
        <v>362</v>
      </c>
      <c r="H50" s="2" t="s">
        <v>363</v>
      </c>
      <c r="I50" s="2" t="s">
        <v>364</v>
      </c>
      <c r="J50" s="3" t="s">
        <v>95</v>
      </c>
      <c r="K50" s="2" t="s">
        <v>353</v>
      </c>
      <c r="L50" s="2"/>
      <c r="M50" s="2" t="s">
        <v>354</v>
      </c>
      <c r="N50" s="2">
        <v>-8030</v>
      </c>
      <c r="P50" s="2" t="s">
        <v>365</v>
      </c>
      <c r="Q50" s="2" t="s">
        <v>366</v>
      </c>
    </row>
    <row r="51" spans="1:17" x14ac:dyDescent="0.2">
      <c r="A51" s="2" t="s">
        <v>346</v>
      </c>
      <c r="B51" s="2" t="s">
        <v>347</v>
      </c>
      <c r="D51" s="2" t="s">
        <v>348</v>
      </c>
      <c r="E51" s="2" t="s">
        <v>349</v>
      </c>
      <c r="F51" s="3">
        <v>46087.305392974537</v>
      </c>
      <c r="G51" s="2" t="s">
        <v>362</v>
      </c>
      <c r="H51" s="2" t="s">
        <v>363</v>
      </c>
      <c r="I51" s="2" t="s">
        <v>364</v>
      </c>
      <c r="J51" s="3" t="s">
        <v>95</v>
      </c>
      <c r="K51" s="2" t="s">
        <v>353</v>
      </c>
      <c r="L51" s="2"/>
      <c r="M51" s="2" t="s">
        <v>354</v>
      </c>
      <c r="N51" s="2">
        <v>19902</v>
      </c>
      <c r="P51" s="2" t="s">
        <v>365</v>
      </c>
      <c r="Q51" s="2" t="s">
        <v>366</v>
      </c>
    </row>
    <row r="52" spans="1:17" x14ac:dyDescent="0.2">
      <c r="A52" s="2" t="s">
        <v>346</v>
      </c>
      <c r="B52" s="2" t="s">
        <v>347</v>
      </c>
      <c r="D52" s="2" t="s">
        <v>348</v>
      </c>
      <c r="E52" s="2" t="s">
        <v>349</v>
      </c>
      <c r="F52" s="3">
        <v>46087.305567581017</v>
      </c>
      <c r="G52" s="2" t="s">
        <v>362</v>
      </c>
      <c r="H52" s="2" t="s">
        <v>363</v>
      </c>
      <c r="I52" s="2" t="s">
        <v>364</v>
      </c>
      <c r="J52" s="3" t="s">
        <v>95</v>
      </c>
      <c r="K52" s="2" t="s">
        <v>353</v>
      </c>
      <c r="L52" s="2"/>
      <c r="M52" s="2" t="s">
        <v>354</v>
      </c>
      <c r="N52" s="2">
        <v>-1671</v>
      </c>
      <c r="P52" s="2" t="s">
        <v>365</v>
      </c>
      <c r="Q52" s="2" t="s">
        <v>366</v>
      </c>
    </row>
    <row r="53" spans="1:17" x14ac:dyDescent="0.2">
      <c r="A53" s="2" t="s">
        <v>346</v>
      </c>
      <c r="B53" s="2" t="s">
        <v>347</v>
      </c>
      <c r="D53" s="2" t="s">
        <v>348</v>
      </c>
      <c r="E53" s="2" t="s">
        <v>349</v>
      </c>
      <c r="F53" s="3">
        <v>46087.305602395834</v>
      </c>
      <c r="G53" s="2" t="s">
        <v>362</v>
      </c>
      <c r="H53" s="2" t="s">
        <v>363</v>
      </c>
      <c r="I53" s="2" t="s">
        <v>364</v>
      </c>
      <c r="J53" s="3" t="s">
        <v>95</v>
      </c>
      <c r="K53" s="2" t="s">
        <v>353</v>
      </c>
      <c r="L53" s="2"/>
      <c r="M53" s="2" t="s">
        <v>354</v>
      </c>
      <c r="N53" s="2">
        <v>27527</v>
      </c>
      <c r="P53" s="2" t="s">
        <v>365</v>
      </c>
      <c r="Q53" s="2" t="s">
        <v>366</v>
      </c>
    </row>
    <row r="54" spans="1:17" x14ac:dyDescent="0.2">
      <c r="A54" s="2" t="s">
        <v>346</v>
      </c>
      <c r="B54" s="2" t="s">
        <v>347</v>
      </c>
      <c r="D54" s="2" t="s">
        <v>348</v>
      </c>
      <c r="E54" s="2" t="s">
        <v>349</v>
      </c>
      <c r="F54" s="3">
        <v>46087.30564864583</v>
      </c>
      <c r="G54" s="2" t="s">
        <v>362</v>
      </c>
      <c r="H54" s="2" t="s">
        <v>363</v>
      </c>
      <c r="I54" s="2" t="s">
        <v>364</v>
      </c>
      <c r="J54" s="3" t="s">
        <v>95</v>
      </c>
      <c r="K54" s="2" t="s">
        <v>353</v>
      </c>
      <c r="L54" s="2"/>
      <c r="M54" s="2" t="s">
        <v>354</v>
      </c>
      <c r="N54" s="2">
        <v>-12090</v>
      </c>
      <c r="P54" s="2" t="s">
        <v>365</v>
      </c>
      <c r="Q54" s="2" t="s">
        <v>366</v>
      </c>
    </row>
    <row r="55" spans="1:17" x14ac:dyDescent="0.2">
      <c r="A55" s="2" t="s">
        <v>346</v>
      </c>
      <c r="B55" s="2" t="s">
        <v>347</v>
      </c>
      <c r="D55" s="2" t="s">
        <v>348</v>
      </c>
      <c r="E55" s="2" t="s">
        <v>349</v>
      </c>
      <c r="F55" s="3">
        <v>46087.305718680553</v>
      </c>
      <c r="G55" s="2" t="s">
        <v>362</v>
      </c>
      <c r="H55" s="2" t="s">
        <v>363</v>
      </c>
      <c r="I55" s="2" t="s">
        <v>364</v>
      </c>
      <c r="J55" s="3" t="s">
        <v>95</v>
      </c>
      <c r="K55" s="2" t="s">
        <v>353</v>
      </c>
      <c r="L55" s="2"/>
      <c r="M55" s="2" t="s">
        <v>354</v>
      </c>
      <c r="N55" s="2">
        <v>24840</v>
      </c>
      <c r="P55" s="2" t="s">
        <v>365</v>
      </c>
      <c r="Q55" s="2" t="s">
        <v>366</v>
      </c>
    </row>
    <row r="56" spans="1:17" x14ac:dyDescent="0.2">
      <c r="A56" s="2" t="s">
        <v>346</v>
      </c>
      <c r="B56" s="2" t="s">
        <v>347</v>
      </c>
      <c r="D56" s="2" t="s">
        <v>348</v>
      </c>
      <c r="E56" s="2" t="s">
        <v>349</v>
      </c>
      <c r="F56" s="3">
        <v>46087.305776724534</v>
      </c>
      <c r="G56" s="2" t="s">
        <v>362</v>
      </c>
      <c r="H56" s="2" t="s">
        <v>363</v>
      </c>
      <c r="I56" s="2" t="s">
        <v>364</v>
      </c>
      <c r="J56" s="3" t="s">
        <v>95</v>
      </c>
      <c r="K56" s="2" t="s">
        <v>353</v>
      </c>
      <c r="L56" s="2"/>
      <c r="M56" s="2" t="s">
        <v>354</v>
      </c>
      <c r="N56" s="2">
        <v>-18228</v>
      </c>
      <c r="P56" s="2" t="s">
        <v>365</v>
      </c>
      <c r="Q56" s="2" t="s">
        <v>366</v>
      </c>
    </row>
    <row r="57" spans="1:17" x14ac:dyDescent="0.2">
      <c r="A57" s="2" t="s">
        <v>346</v>
      </c>
      <c r="B57" s="2" t="s">
        <v>347</v>
      </c>
      <c r="D57" s="2" t="s">
        <v>348</v>
      </c>
      <c r="E57" s="2" t="s">
        <v>349</v>
      </c>
      <c r="F57" s="3">
        <v>46087.305858113425</v>
      </c>
      <c r="G57" s="2" t="s">
        <v>362</v>
      </c>
      <c r="H57" s="2" t="s">
        <v>363</v>
      </c>
      <c r="I57" s="2" t="s">
        <v>364</v>
      </c>
      <c r="J57" s="3" t="s">
        <v>95</v>
      </c>
      <c r="K57" s="2" t="s">
        <v>353</v>
      </c>
      <c r="L57" s="2"/>
      <c r="M57" s="2" t="s">
        <v>354</v>
      </c>
      <c r="N57" s="2">
        <v>24638</v>
      </c>
      <c r="P57" s="2" t="s">
        <v>365</v>
      </c>
      <c r="Q57" s="2" t="s">
        <v>366</v>
      </c>
    </row>
    <row r="58" spans="1:17" x14ac:dyDescent="0.2">
      <c r="A58" s="2" t="s">
        <v>346</v>
      </c>
      <c r="B58" s="2" t="s">
        <v>347</v>
      </c>
      <c r="D58" s="2" t="s">
        <v>348</v>
      </c>
      <c r="E58" s="2" t="s">
        <v>349</v>
      </c>
      <c r="F58" s="3">
        <v>46087.30592791667</v>
      </c>
      <c r="G58" s="2" t="s">
        <v>362</v>
      </c>
      <c r="H58" s="2" t="s">
        <v>363</v>
      </c>
      <c r="I58" s="2" t="s">
        <v>364</v>
      </c>
      <c r="J58" s="3" t="s">
        <v>95</v>
      </c>
      <c r="K58" s="2" t="s">
        <v>353</v>
      </c>
      <c r="L58" s="2"/>
      <c r="M58" s="2" t="s">
        <v>354</v>
      </c>
      <c r="N58" s="2">
        <v>-23436</v>
      </c>
      <c r="P58" s="2" t="s">
        <v>365</v>
      </c>
      <c r="Q58" s="2" t="s">
        <v>366</v>
      </c>
    </row>
    <row r="59" spans="1:17" x14ac:dyDescent="0.2">
      <c r="A59" s="2" t="s">
        <v>346</v>
      </c>
      <c r="B59" s="2" t="s">
        <v>347</v>
      </c>
      <c r="D59" s="2" t="s">
        <v>348</v>
      </c>
      <c r="E59" s="2" t="s">
        <v>349</v>
      </c>
      <c r="F59" s="3">
        <v>46087.306055636574</v>
      </c>
      <c r="G59" s="2" t="s">
        <v>362</v>
      </c>
      <c r="H59" s="2" t="s">
        <v>363</v>
      </c>
      <c r="I59" s="2" t="s">
        <v>364</v>
      </c>
      <c r="J59" s="3" t="s">
        <v>95</v>
      </c>
      <c r="K59" s="2" t="s">
        <v>353</v>
      </c>
      <c r="L59" s="2"/>
      <c r="M59" s="2" t="s">
        <v>354</v>
      </c>
      <c r="N59" s="2">
        <v>18438</v>
      </c>
      <c r="P59" s="2" t="s">
        <v>365</v>
      </c>
      <c r="Q59" s="2" t="s">
        <v>366</v>
      </c>
    </row>
    <row r="60" spans="1:17" x14ac:dyDescent="0.2">
      <c r="A60" s="2" t="s">
        <v>346</v>
      </c>
      <c r="B60" s="2" t="s">
        <v>347</v>
      </c>
      <c r="D60" s="2" t="s">
        <v>348</v>
      </c>
      <c r="E60" s="2" t="s">
        <v>349</v>
      </c>
      <c r="F60" s="3">
        <v>46087.306114363426</v>
      </c>
      <c r="G60" s="2" t="s">
        <v>362</v>
      </c>
      <c r="H60" s="2" t="s">
        <v>363</v>
      </c>
      <c r="I60" s="2" t="s">
        <v>364</v>
      </c>
      <c r="J60" s="3" t="s">
        <v>95</v>
      </c>
      <c r="K60" s="2" t="s">
        <v>353</v>
      </c>
      <c r="L60" s="2"/>
      <c r="M60" s="2" t="s">
        <v>354</v>
      </c>
      <c r="N60" s="2">
        <v>-22350</v>
      </c>
      <c r="P60" s="2" t="s">
        <v>365</v>
      </c>
      <c r="Q60" s="2" t="s">
        <v>366</v>
      </c>
    </row>
    <row r="61" spans="1:17" x14ac:dyDescent="0.2">
      <c r="A61" s="2" t="s">
        <v>346</v>
      </c>
      <c r="B61" s="2" t="s">
        <v>347</v>
      </c>
      <c r="D61" s="2" t="s">
        <v>348</v>
      </c>
      <c r="E61" s="2" t="s">
        <v>349</v>
      </c>
      <c r="F61" s="3">
        <v>46087.306219664351</v>
      </c>
      <c r="G61" s="2" t="s">
        <v>362</v>
      </c>
      <c r="H61" s="2" t="s">
        <v>363</v>
      </c>
      <c r="I61" s="2" t="s">
        <v>364</v>
      </c>
      <c r="J61" s="3" t="s">
        <v>95</v>
      </c>
      <c r="K61" s="2" t="s">
        <v>353</v>
      </c>
      <c r="L61" s="2"/>
      <c r="M61" s="2" t="s">
        <v>354</v>
      </c>
      <c r="N61" s="2">
        <v>18735</v>
      </c>
      <c r="P61" s="2" t="s">
        <v>365</v>
      </c>
      <c r="Q61" s="2" t="s">
        <v>366</v>
      </c>
    </row>
    <row r="62" spans="1:17" x14ac:dyDescent="0.2">
      <c r="A62" s="2" t="s">
        <v>346</v>
      </c>
      <c r="B62" s="2" t="s">
        <v>347</v>
      </c>
      <c r="D62" s="2" t="s">
        <v>348</v>
      </c>
      <c r="E62" s="2" t="s">
        <v>349</v>
      </c>
      <c r="F62" s="3">
        <v>46087.306289375003</v>
      </c>
      <c r="G62" s="2" t="s">
        <v>362</v>
      </c>
      <c r="H62" s="2" t="s">
        <v>363</v>
      </c>
      <c r="I62" s="2" t="s">
        <v>364</v>
      </c>
      <c r="J62" s="3" t="s">
        <v>95</v>
      </c>
      <c r="K62" s="2" t="s">
        <v>353</v>
      </c>
      <c r="L62" s="2"/>
      <c r="M62" s="2" t="s">
        <v>354</v>
      </c>
      <c r="N62" s="2">
        <v>-1117</v>
      </c>
      <c r="P62" s="2" t="s">
        <v>365</v>
      </c>
      <c r="Q62" s="2" t="s">
        <v>366</v>
      </c>
    </row>
    <row r="63" spans="1:17" x14ac:dyDescent="0.2">
      <c r="A63" s="2" t="s">
        <v>346</v>
      </c>
      <c r="B63" s="2" t="s">
        <v>347</v>
      </c>
      <c r="D63" s="2" t="s">
        <v>348</v>
      </c>
      <c r="E63" s="2" t="s">
        <v>349</v>
      </c>
      <c r="F63" s="3">
        <v>46087.306475509256</v>
      </c>
      <c r="G63" s="2" t="s">
        <v>362</v>
      </c>
      <c r="H63" s="2" t="s">
        <v>363</v>
      </c>
      <c r="I63" s="2" t="s">
        <v>364</v>
      </c>
      <c r="J63" s="3" t="s">
        <v>95</v>
      </c>
      <c r="K63" s="2" t="s">
        <v>353</v>
      </c>
      <c r="L63" s="2"/>
      <c r="M63" s="2" t="s">
        <v>354</v>
      </c>
      <c r="N63" s="2">
        <v>38007</v>
      </c>
      <c r="P63" s="2" t="s">
        <v>365</v>
      </c>
      <c r="Q63" s="2" t="s">
        <v>366</v>
      </c>
    </row>
    <row r="64" spans="1:17" x14ac:dyDescent="0.2">
      <c r="A64" s="2" t="s">
        <v>346</v>
      </c>
      <c r="B64" s="2" t="s">
        <v>347</v>
      </c>
      <c r="D64" s="2" t="s">
        <v>348</v>
      </c>
      <c r="E64" s="2" t="s">
        <v>349</v>
      </c>
      <c r="F64" s="3">
        <v>46087.30653361111</v>
      </c>
      <c r="G64" s="2" t="s">
        <v>362</v>
      </c>
      <c r="H64" s="2" t="s">
        <v>363</v>
      </c>
      <c r="I64" s="2" t="s">
        <v>364</v>
      </c>
      <c r="J64" s="3" t="s">
        <v>95</v>
      </c>
      <c r="K64" s="2" t="s">
        <v>353</v>
      </c>
      <c r="L64" s="2"/>
      <c r="M64" s="2" t="s">
        <v>354</v>
      </c>
      <c r="N64" s="2">
        <v>-369</v>
      </c>
      <c r="P64" s="2" t="s">
        <v>365</v>
      </c>
      <c r="Q64" s="2" t="s">
        <v>366</v>
      </c>
    </row>
    <row r="65" spans="1:17" x14ac:dyDescent="0.2">
      <c r="A65" s="2" t="s">
        <v>346</v>
      </c>
      <c r="B65" s="2" t="s">
        <v>347</v>
      </c>
      <c r="D65" s="2" t="s">
        <v>348</v>
      </c>
      <c r="E65" s="2" t="s">
        <v>349</v>
      </c>
      <c r="F65" s="3">
        <v>46087.307522743053</v>
      </c>
      <c r="G65" s="2" t="s">
        <v>350</v>
      </c>
      <c r="H65" s="2" t="s">
        <v>351</v>
      </c>
      <c r="I65" s="2" t="s">
        <v>352</v>
      </c>
      <c r="J65" s="3" t="s">
        <v>95</v>
      </c>
      <c r="K65" s="2" t="s">
        <v>353</v>
      </c>
      <c r="L65" s="2"/>
      <c r="M65" s="2" t="s">
        <v>354</v>
      </c>
      <c r="N65" s="2">
        <v>76.585000000000008</v>
      </c>
      <c r="P65" s="2" t="s">
        <v>355</v>
      </c>
      <c r="Q65" s="2" t="s">
        <v>356</v>
      </c>
    </row>
    <row r="66" spans="1:17" x14ac:dyDescent="0.2">
      <c r="A66" s="2" t="s">
        <v>346</v>
      </c>
      <c r="B66" s="2" t="s">
        <v>347</v>
      </c>
      <c r="D66" s="2" t="s">
        <v>348</v>
      </c>
      <c r="E66" s="2" t="s">
        <v>349</v>
      </c>
      <c r="F66" s="3">
        <v>46087.307695543983</v>
      </c>
      <c r="G66" s="2" t="s">
        <v>357</v>
      </c>
      <c r="H66" s="2" t="s">
        <v>358</v>
      </c>
      <c r="I66" s="2" t="s">
        <v>359</v>
      </c>
      <c r="J66" s="3" t="s">
        <v>95</v>
      </c>
      <c r="K66" s="2" t="s">
        <v>353</v>
      </c>
      <c r="L66" s="2"/>
      <c r="M66" s="2" t="s">
        <v>354</v>
      </c>
      <c r="N66" s="2">
        <v>372.5</v>
      </c>
      <c r="P66" s="2" t="s">
        <v>360</v>
      </c>
      <c r="Q66" s="2" t="s">
        <v>361</v>
      </c>
    </row>
    <row r="67" spans="1:17" x14ac:dyDescent="0.2">
      <c r="A67" s="2" t="s">
        <v>346</v>
      </c>
      <c r="B67" s="2" t="s">
        <v>347</v>
      </c>
      <c r="D67" s="2" t="s">
        <v>348</v>
      </c>
      <c r="E67" s="2" t="s">
        <v>349</v>
      </c>
      <c r="F67" s="3">
        <v>46087.30769616898</v>
      </c>
      <c r="G67" s="2" t="s">
        <v>362</v>
      </c>
      <c r="H67" s="2" t="s">
        <v>363</v>
      </c>
      <c r="I67" s="2" t="s">
        <v>364</v>
      </c>
      <c r="J67" s="3" t="s">
        <v>95</v>
      </c>
      <c r="K67" s="2" t="s">
        <v>353</v>
      </c>
      <c r="L67" s="2"/>
      <c r="M67" s="2" t="s">
        <v>354</v>
      </c>
      <c r="N67" s="2">
        <v>186</v>
      </c>
      <c r="P67" s="2" t="s">
        <v>365</v>
      </c>
      <c r="Q67" s="2" t="s">
        <v>366</v>
      </c>
    </row>
    <row r="68" spans="1:17" x14ac:dyDescent="0.2">
      <c r="A68" s="2" t="s">
        <v>346</v>
      </c>
      <c r="B68" s="2" t="s">
        <v>347</v>
      </c>
      <c r="D68" s="2" t="s">
        <v>348</v>
      </c>
      <c r="E68" s="2" t="s">
        <v>349</v>
      </c>
      <c r="F68" s="3">
        <v>46087.351957557868</v>
      </c>
      <c r="G68" s="2" t="s">
        <v>350</v>
      </c>
      <c r="H68" s="2" t="s">
        <v>351</v>
      </c>
      <c r="I68" s="2" t="s">
        <v>352</v>
      </c>
      <c r="J68" s="3" t="s">
        <v>95</v>
      </c>
      <c r="K68" s="2" t="s">
        <v>353</v>
      </c>
      <c r="L68" s="2"/>
      <c r="M68" s="2" t="s">
        <v>354</v>
      </c>
      <c r="N68" s="2">
        <v>76.585000000000008</v>
      </c>
      <c r="P68" s="2" t="s">
        <v>355</v>
      </c>
      <c r="Q68" s="2" t="s">
        <v>356</v>
      </c>
    </row>
    <row r="69" spans="1:17" x14ac:dyDescent="0.2">
      <c r="A69" s="2" t="s">
        <v>346</v>
      </c>
      <c r="B69" s="2" t="s">
        <v>347</v>
      </c>
      <c r="D69" s="2" t="s">
        <v>348</v>
      </c>
      <c r="E69" s="2" t="s">
        <v>349</v>
      </c>
      <c r="F69" s="3">
        <v>46087.351958148145</v>
      </c>
      <c r="G69" s="2" t="s">
        <v>357</v>
      </c>
      <c r="H69" s="2" t="s">
        <v>358</v>
      </c>
      <c r="I69" s="2" t="s">
        <v>359</v>
      </c>
      <c r="J69" s="3" t="s">
        <v>95</v>
      </c>
      <c r="K69" s="2" t="s">
        <v>353</v>
      </c>
      <c r="L69" s="2"/>
      <c r="M69" s="2" t="s">
        <v>354</v>
      </c>
      <c r="N69" s="2">
        <v>373</v>
      </c>
      <c r="P69" s="2" t="s">
        <v>360</v>
      </c>
      <c r="Q69" s="2" t="s">
        <v>361</v>
      </c>
    </row>
    <row r="70" spans="1:17" x14ac:dyDescent="0.2">
      <c r="A70" s="2" t="s">
        <v>346</v>
      </c>
      <c r="B70" s="2" t="s">
        <v>347</v>
      </c>
      <c r="D70" s="2" t="s">
        <v>348</v>
      </c>
      <c r="E70" s="2" t="s">
        <v>349</v>
      </c>
      <c r="F70" s="3">
        <v>46087.351959004627</v>
      </c>
      <c r="G70" s="2" t="s">
        <v>362</v>
      </c>
      <c r="H70" s="2" t="s">
        <v>363</v>
      </c>
      <c r="I70" s="2" t="s">
        <v>364</v>
      </c>
      <c r="J70" s="3" t="s">
        <v>95</v>
      </c>
      <c r="K70" s="2" t="s">
        <v>353</v>
      </c>
      <c r="L70" s="2"/>
      <c r="M70" s="2" t="s">
        <v>354</v>
      </c>
      <c r="N70" s="2">
        <v>373</v>
      </c>
      <c r="P70" s="2" t="s">
        <v>365</v>
      </c>
      <c r="Q70" s="2" t="s">
        <v>366</v>
      </c>
    </row>
    <row r="71" spans="1:17" x14ac:dyDescent="0.2">
      <c r="A71" s="2" t="s">
        <v>346</v>
      </c>
      <c r="B71" s="2" t="s">
        <v>347</v>
      </c>
      <c r="D71" s="2" t="s">
        <v>348</v>
      </c>
      <c r="E71" s="2" t="s">
        <v>349</v>
      </c>
      <c r="F71" s="3">
        <v>46087.355866469909</v>
      </c>
      <c r="G71" s="2" t="s">
        <v>362</v>
      </c>
      <c r="H71" s="2" t="s">
        <v>363</v>
      </c>
      <c r="I71" s="2" t="s">
        <v>364</v>
      </c>
      <c r="J71" s="3" t="s">
        <v>95</v>
      </c>
      <c r="K71" s="2" t="s">
        <v>353</v>
      </c>
      <c r="L71" s="2"/>
      <c r="M71" s="2" t="s">
        <v>354</v>
      </c>
      <c r="N71" s="2">
        <v>-21820</v>
      </c>
      <c r="P71" s="2" t="s">
        <v>365</v>
      </c>
      <c r="Q71" s="2" t="s">
        <v>366</v>
      </c>
    </row>
    <row r="72" spans="1:17" x14ac:dyDescent="0.2">
      <c r="A72" s="2" t="s">
        <v>346</v>
      </c>
      <c r="B72" s="2" t="s">
        <v>347</v>
      </c>
      <c r="D72" s="2" t="s">
        <v>348</v>
      </c>
      <c r="E72" s="2" t="s">
        <v>349</v>
      </c>
      <c r="F72" s="3">
        <v>46087.355982581015</v>
      </c>
      <c r="G72" s="2" t="s">
        <v>362</v>
      </c>
      <c r="H72" s="2" t="s">
        <v>363</v>
      </c>
      <c r="I72" s="2" t="s">
        <v>364</v>
      </c>
      <c r="J72" s="3" t="s">
        <v>95</v>
      </c>
      <c r="K72" s="2" t="s">
        <v>353</v>
      </c>
      <c r="L72" s="2"/>
      <c r="M72" s="2" t="s">
        <v>354</v>
      </c>
      <c r="N72" s="2">
        <v>8556</v>
      </c>
      <c r="P72" s="2" t="s">
        <v>365</v>
      </c>
      <c r="Q72" s="2" t="s">
        <v>366</v>
      </c>
    </row>
    <row r="73" spans="1:17" x14ac:dyDescent="0.2">
      <c r="A73" s="2" t="s">
        <v>346</v>
      </c>
      <c r="B73" s="2" t="s">
        <v>347</v>
      </c>
      <c r="D73" s="2" t="s">
        <v>348</v>
      </c>
      <c r="E73" s="2" t="s">
        <v>349</v>
      </c>
      <c r="F73" s="3">
        <v>46087.35652922454</v>
      </c>
      <c r="G73" s="2" t="s">
        <v>362</v>
      </c>
      <c r="H73" s="2" t="s">
        <v>363</v>
      </c>
      <c r="I73" s="2" t="s">
        <v>364</v>
      </c>
      <c r="J73" s="3" t="s">
        <v>95</v>
      </c>
      <c r="K73" s="2" t="s">
        <v>353</v>
      </c>
      <c r="L73" s="2"/>
      <c r="M73" s="2" t="s">
        <v>354</v>
      </c>
      <c r="N73" s="2">
        <v>11501</v>
      </c>
      <c r="P73" s="2" t="s">
        <v>365</v>
      </c>
      <c r="Q73" s="2" t="s">
        <v>366</v>
      </c>
    </row>
    <row r="74" spans="1:17" x14ac:dyDescent="0.2">
      <c r="A74" s="2" t="s">
        <v>346</v>
      </c>
      <c r="B74" s="2" t="s">
        <v>347</v>
      </c>
      <c r="D74" s="2" t="s">
        <v>348</v>
      </c>
      <c r="E74" s="2" t="s">
        <v>349</v>
      </c>
      <c r="F74" s="3">
        <v>46087.356598981482</v>
      </c>
      <c r="G74" s="2" t="s">
        <v>362</v>
      </c>
      <c r="H74" s="2" t="s">
        <v>363</v>
      </c>
      <c r="I74" s="2" t="s">
        <v>364</v>
      </c>
      <c r="J74" s="3" t="s">
        <v>95</v>
      </c>
      <c r="K74" s="2" t="s">
        <v>353</v>
      </c>
      <c r="L74" s="2"/>
      <c r="M74" s="2" t="s">
        <v>354</v>
      </c>
      <c r="N74" s="2">
        <v>4855</v>
      </c>
      <c r="P74" s="2" t="s">
        <v>365</v>
      </c>
      <c r="Q74" s="2" t="s">
        <v>366</v>
      </c>
    </row>
    <row r="75" spans="1:17" x14ac:dyDescent="0.2">
      <c r="A75" s="2" t="s">
        <v>346</v>
      </c>
      <c r="B75" s="2" t="s">
        <v>347</v>
      </c>
      <c r="D75" s="2" t="s">
        <v>348</v>
      </c>
      <c r="E75" s="2" t="s">
        <v>349</v>
      </c>
      <c r="F75" s="3">
        <v>46087.356622314815</v>
      </c>
      <c r="G75" s="2" t="s">
        <v>362</v>
      </c>
      <c r="H75" s="2" t="s">
        <v>363</v>
      </c>
      <c r="I75" s="2" t="s">
        <v>364</v>
      </c>
      <c r="J75" s="3" t="s">
        <v>95</v>
      </c>
      <c r="K75" s="2" t="s">
        <v>353</v>
      </c>
      <c r="L75" s="2"/>
      <c r="M75" s="2" t="s">
        <v>354</v>
      </c>
      <c r="N75" s="2">
        <v>-34689</v>
      </c>
      <c r="P75" s="2" t="s">
        <v>365</v>
      </c>
      <c r="Q75" s="2" t="s">
        <v>366</v>
      </c>
    </row>
    <row r="76" spans="1:17" x14ac:dyDescent="0.2">
      <c r="A76" s="2" t="s">
        <v>346</v>
      </c>
      <c r="B76" s="2" t="s">
        <v>347</v>
      </c>
      <c r="D76" s="2" t="s">
        <v>348</v>
      </c>
      <c r="E76" s="2" t="s">
        <v>349</v>
      </c>
      <c r="F76" s="3">
        <v>46087.356657037039</v>
      </c>
      <c r="G76" s="2" t="s">
        <v>362</v>
      </c>
      <c r="H76" s="2" t="s">
        <v>363</v>
      </c>
      <c r="I76" s="2" t="s">
        <v>364</v>
      </c>
      <c r="J76" s="3" t="s">
        <v>95</v>
      </c>
      <c r="K76" s="2" t="s">
        <v>353</v>
      </c>
      <c r="L76" s="2"/>
      <c r="M76" s="2" t="s">
        <v>354</v>
      </c>
      <c r="N76" s="2">
        <v>9911</v>
      </c>
      <c r="P76" s="2" t="s">
        <v>365</v>
      </c>
      <c r="Q76" s="2" t="s">
        <v>366</v>
      </c>
    </row>
    <row r="77" spans="1:17" x14ac:dyDescent="0.2">
      <c r="A77" s="2" t="s">
        <v>346</v>
      </c>
      <c r="B77" s="2" t="s">
        <v>347</v>
      </c>
      <c r="D77" s="2" t="s">
        <v>348</v>
      </c>
      <c r="E77" s="2" t="s">
        <v>349</v>
      </c>
      <c r="F77" s="3">
        <v>46087.356924421299</v>
      </c>
      <c r="G77" s="2" t="s">
        <v>362</v>
      </c>
      <c r="H77" s="2" t="s">
        <v>363</v>
      </c>
      <c r="I77" s="2" t="s">
        <v>364</v>
      </c>
      <c r="J77" s="3" t="s">
        <v>95</v>
      </c>
      <c r="K77" s="2" t="s">
        <v>353</v>
      </c>
      <c r="L77" s="2"/>
      <c r="M77" s="2" t="s">
        <v>354</v>
      </c>
      <c r="N77" s="2">
        <v>-18024</v>
      </c>
      <c r="P77" s="2" t="s">
        <v>365</v>
      </c>
      <c r="Q77" s="2" t="s">
        <v>366</v>
      </c>
    </row>
    <row r="78" spans="1:17" x14ac:dyDescent="0.2">
      <c r="A78" s="2" t="s">
        <v>346</v>
      </c>
      <c r="B78" s="2" t="s">
        <v>347</v>
      </c>
      <c r="D78" s="2" t="s">
        <v>348</v>
      </c>
      <c r="E78" s="2" t="s">
        <v>349</v>
      </c>
      <c r="F78" s="3">
        <v>46087.357191608797</v>
      </c>
      <c r="G78" s="2" t="s">
        <v>362</v>
      </c>
      <c r="H78" s="2" t="s">
        <v>363</v>
      </c>
      <c r="I78" s="2" t="s">
        <v>364</v>
      </c>
      <c r="J78" s="3" t="s">
        <v>95</v>
      </c>
      <c r="K78" s="2" t="s">
        <v>353</v>
      </c>
      <c r="L78" s="2"/>
      <c r="M78" s="2" t="s">
        <v>354</v>
      </c>
      <c r="N78" s="2">
        <v>17945</v>
      </c>
      <c r="P78" s="2" t="s">
        <v>365</v>
      </c>
      <c r="Q78" s="2" t="s">
        <v>366</v>
      </c>
    </row>
    <row r="79" spans="1:17" x14ac:dyDescent="0.2">
      <c r="A79" s="2" t="s">
        <v>346</v>
      </c>
      <c r="B79" s="2" t="s">
        <v>347</v>
      </c>
      <c r="D79" s="2" t="s">
        <v>348</v>
      </c>
      <c r="E79" s="2" t="s">
        <v>349</v>
      </c>
      <c r="F79" s="3">
        <v>46087.357238182871</v>
      </c>
      <c r="G79" s="2" t="s">
        <v>362</v>
      </c>
      <c r="H79" s="2" t="s">
        <v>363</v>
      </c>
      <c r="I79" s="2" t="s">
        <v>364</v>
      </c>
      <c r="J79" s="3" t="s">
        <v>95</v>
      </c>
      <c r="K79" s="2" t="s">
        <v>353</v>
      </c>
      <c r="L79" s="2"/>
      <c r="M79" s="2" t="s">
        <v>354</v>
      </c>
      <c r="N79" s="2">
        <v>-43081</v>
      </c>
      <c r="P79" s="2" t="s">
        <v>365</v>
      </c>
      <c r="Q79" s="2" t="s">
        <v>366</v>
      </c>
    </row>
    <row r="80" spans="1:17" x14ac:dyDescent="0.2">
      <c r="A80" s="2" t="s">
        <v>346</v>
      </c>
      <c r="B80" s="2" t="s">
        <v>347</v>
      </c>
      <c r="D80" s="2" t="s">
        <v>348</v>
      </c>
      <c r="E80" s="2" t="s">
        <v>349</v>
      </c>
      <c r="F80" s="3">
        <v>46087.357435752318</v>
      </c>
      <c r="G80" s="2" t="s">
        <v>362</v>
      </c>
      <c r="H80" s="2" t="s">
        <v>363</v>
      </c>
      <c r="I80" s="2" t="s">
        <v>364</v>
      </c>
      <c r="J80" s="3" t="s">
        <v>95</v>
      </c>
      <c r="K80" s="2" t="s">
        <v>353</v>
      </c>
      <c r="L80" s="2"/>
      <c r="M80" s="2" t="s">
        <v>354</v>
      </c>
      <c r="N80" s="2">
        <v>17736</v>
      </c>
      <c r="P80" s="2" t="s">
        <v>365</v>
      </c>
      <c r="Q80" s="2" t="s">
        <v>366</v>
      </c>
    </row>
    <row r="81" spans="1:17" x14ac:dyDescent="0.2">
      <c r="A81" s="2" t="s">
        <v>346</v>
      </c>
      <c r="B81" s="2" t="s">
        <v>347</v>
      </c>
      <c r="D81" s="2" t="s">
        <v>348</v>
      </c>
      <c r="E81" s="2" t="s">
        <v>349</v>
      </c>
      <c r="F81" s="3">
        <v>46087.357982083333</v>
      </c>
      <c r="G81" s="2" t="s">
        <v>362</v>
      </c>
      <c r="H81" s="2" t="s">
        <v>363</v>
      </c>
      <c r="I81" s="2" t="s">
        <v>364</v>
      </c>
      <c r="J81" s="3" t="s">
        <v>95</v>
      </c>
      <c r="K81" s="2" t="s">
        <v>353</v>
      </c>
      <c r="L81" s="2"/>
      <c r="M81" s="2" t="s">
        <v>354</v>
      </c>
      <c r="N81" s="2">
        <v>-15603</v>
      </c>
      <c r="P81" s="2" t="s">
        <v>365</v>
      </c>
      <c r="Q81" s="2" t="s">
        <v>366</v>
      </c>
    </row>
    <row r="82" spans="1:17" x14ac:dyDescent="0.2">
      <c r="A82" s="2" t="s">
        <v>346</v>
      </c>
      <c r="B82" s="2" t="s">
        <v>347</v>
      </c>
      <c r="D82" s="2" t="s">
        <v>348</v>
      </c>
      <c r="E82" s="2" t="s">
        <v>349</v>
      </c>
      <c r="F82" s="3">
        <v>46087.358051944444</v>
      </c>
      <c r="G82" s="2" t="s">
        <v>362</v>
      </c>
      <c r="H82" s="2" t="s">
        <v>363</v>
      </c>
      <c r="I82" s="2" t="s">
        <v>364</v>
      </c>
      <c r="J82" s="3" t="s">
        <v>95</v>
      </c>
      <c r="K82" s="2" t="s">
        <v>353</v>
      </c>
      <c r="L82" s="2"/>
      <c r="M82" s="2" t="s">
        <v>354</v>
      </c>
      <c r="N82" s="2">
        <v>11130</v>
      </c>
      <c r="P82" s="2" t="s">
        <v>365</v>
      </c>
      <c r="Q82" s="2" t="s">
        <v>366</v>
      </c>
    </row>
    <row r="83" spans="1:17" x14ac:dyDescent="0.2">
      <c r="A83" s="2" t="s">
        <v>346</v>
      </c>
      <c r="B83" s="2" t="s">
        <v>347</v>
      </c>
      <c r="D83" s="2" t="s">
        <v>348</v>
      </c>
      <c r="E83" s="2" t="s">
        <v>349</v>
      </c>
      <c r="F83" s="3">
        <v>46087.358445949074</v>
      </c>
      <c r="G83" s="2" t="s">
        <v>350</v>
      </c>
      <c r="H83" s="2" t="s">
        <v>351</v>
      </c>
      <c r="I83" s="2" t="s">
        <v>352</v>
      </c>
      <c r="J83" s="3" t="s">
        <v>95</v>
      </c>
      <c r="K83" s="2" t="s">
        <v>353</v>
      </c>
      <c r="L83" s="2"/>
      <c r="M83" s="2" t="s">
        <v>354</v>
      </c>
      <c r="N83" s="2">
        <v>75.489999999999995</v>
      </c>
      <c r="P83" s="2" t="s">
        <v>355</v>
      </c>
      <c r="Q83" s="2" t="s">
        <v>356</v>
      </c>
    </row>
    <row r="84" spans="1:17" x14ac:dyDescent="0.2">
      <c r="A84" s="2" t="s">
        <v>346</v>
      </c>
      <c r="B84" s="2" t="s">
        <v>347</v>
      </c>
      <c r="D84" s="2" t="s">
        <v>348</v>
      </c>
      <c r="E84" s="2" t="s">
        <v>349</v>
      </c>
      <c r="F84" s="3">
        <v>46087.358575983795</v>
      </c>
      <c r="G84" s="2" t="s">
        <v>362</v>
      </c>
      <c r="H84" s="2" t="s">
        <v>363</v>
      </c>
      <c r="I84" s="2" t="s">
        <v>364</v>
      </c>
      <c r="J84" s="3" t="s">
        <v>95</v>
      </c>
      <c r="K84" s="2" t="s">
        <v>353</v>
      </c>
      <c r="L84" s="2"/>
      <c r="M84" s="2" t="s">
        <v>354</v>
      </c>
      <c r="N84" s="2">
        <v>-14773</v>
      </c>
      <c r="P84" s="2" t="s">
        <v>365</v>
      </c>
      <c r="Q84" s="2" t="s">
        <v>366</v>
      </c>
    </row>
    <row r="85" spans="1:17" x14ac:dyDescent="0.2">
      <c r="A85" s="2" t="s">
        <v>346</v>
      </c>
      <c r="B85" s="2" t="s">
        <v>347</v>
      </c>
      <c r="D85" s="2" t="s">
        <v>348</v>
      </c>
      <c r="E85" s="2" t="s">
        <v>349</v>
      </c>
      <c r="F85" s="3">
        <v>46087.358854710648</v>
      </c>
      <c r="G85" s="2" t="s">
        <v>362</v>
      </c>
      <c r="H85" s="2" t="s">
        <v>363</v>
      </c>
      <c r="I85" s="2" t="s">
        <v>364</v>
      </c>
      <c r="J85" s="3" t="s">
        <v>95</v>
      </c>
      <c r="K85" s="2" t="s">
        <v>353</v>
      </c>
      <c r="L85" s="2"/>
      <c r="M85" s="2" t="s">
        <v>354</v>
      </c>
      <c r="N85" s="2">
        <v>18685</v>
      </c>
      <c r="P85" s="2" t="s">
        <v>365</v>
      </c>
      <c r="Q85" s="2" t="s">
        <v>366</v>
      </c>
    </row>
    <row r="86" spans="1:17" x14ac:dyDescent="0.2">
      <c r="A86" s="2" t="s">
        <v>346</v>
      </c>
      <c r="B86" s="2" t="s">
        <v>347</v>
      </c>
      <c r="D86" s="2" t="s">
        <v>348</v>
      </c>
      <c r="E86" s="2" t="s">
        <v>349</v>
      </c>
      <c r="F86" s="3">
        <v>46087.359064583332</v>
      </c>
      <c r="G86" s="2" t="s">
        <v>362</v>
      </c>
      <c r="H86" s="2" t="s">
        <v>363</v>
      </c>
      <c r="I86" s="2" t="s">
        <v>364</v>
      </c>
      <c r="J86" s="3" t="s">
        <v>95</v>
      </c>
      <c r="K86" s="2" t="s">
        <v>353</v>
      </c>
      <c r="L86" s="2"/>
      <c r="M86" s="2" t="s">
        <v>354</v>
      </c>
      <c r="N86" s="2">
        <v>-22536</v>
      </c>
      <c r="P86" s="2" t="s">
        <v>365</v>
      </c>
      <c r="Q86" s="2" t="s">
        <v>366</v>
      </c>
    </row>
    <row r="87" spans="1:17" x14ac:dyDescent="0.2">
      <c r="A87" s="2" t="s">
        <v>346</v>
      </c>
      <c r="B87" s="2" t="s">
        <v>347</v>
      </c>
      <c r="D87" s="2" t="s">
        <v>348</v>
      </c>
      <c r="E87" s="2" t="s">
        <v>349</v>
      </c>
      <c r="F87" s="3">
        <v>46087.359204016204</v>
      </c>
      <c r="G87" s="2" t="s">
        <v>362</v>
      </c>
      <c r="H87" s="2" t="s">
        <v>363</v>
      </c>
      <c r="I87" s="2" t="s">
        <v>364</v>
      </c>
      <c r="J87" s="3" t="s">
        <v>95</v>
      </c>
      <c r="K87" s="2" t="s">
        <v>353</v>
      </c>
      <c r="L87" s="2"/>
      <c r="M87" s="2" t="s">
        <v>354</v>
      </c>
      <c r="N87" s="2">
        <v>3906</v>
      </c>
      <c r="P87" s="2" t="s">
        <v>365</v>
      </c>
      <c r="Q87" s="2" t="s">
        <v>366</v>
      </c>
    </row>
    <row r="88" spans="1:17" x14ac:dyDescent="0.2">
      <c r="A88" s="2" t="s">
        <v>346</v>
      </c>
      <c r="B88" s="2" t="s">
        <v>347</v>
      </c>
      <c r="D88" s="2" t="s">
        <v>348</v>
      </c>
      <c r="E88" s="2" t="s">
        <v>349</v>
      </c>
      <c r="F88" s="3">
        <v>46087.362099432874</v>
      </c>
      <c r="G88" s="2" t="s">
        <v>362</v>
      </c>
      <c r="H88" s="2" t="s">
        <v>363</v>
      </c>
      <c r="I88" s="2" t="s">
        <v>364</v>
      </c>
      <c r="J88" s="3" t="s">
        <v>95</v>
      </c>
      <c r="K88" s="2" t="s">
        <v>353</v>
      </c>
      <c r="L88" s="2"/>
      <c r="M88" s="2" t="s">
        <v>354</v>
      </c>
      <c r="N88" s="2">
        <v>-11100</v>
      </c>
      <c r="P88" s="2" t="s">
        <v>365</v>
      </c>
      <c r="Q88" s="2" t="s">
        <v>366</v>
      </c>
    </row>
    <row r="89" spans="1:17" x14ac:dyDescent="0.2">
      <c r="A89" s="2" t="s">
        <v>346</v>
      </c>
      <c r="B89" s="2" t="s">
        <v>347</v>
      </c>
      <c r="D89" s="2" t="s">
        <v>348</v>
      </c>
      <c r="E89" s="2" t="s">
        <v>349</v>
      </c>
      <c r="F89" s="3">
        <v>46087.362215717592</v>
      </c>
      <c r="G89" s="2" t="s">
        <v>362</v>
      </c>
      <c r="H89" s="2" t="s">
        <v>363</v>
      </c>
      <c r="I89" s="2" t="s">
        <v>364</v>
      </c>
      <c r="J89" s="3" t="s">
        <v>95</v>
      </c>
      <c r="K89" s="2" t="s">
        <v>353</v>
      </c>
      <c r="L89" s="2"/>
      <c r="M89" s="2" t="s">
        <v>354</v>
      </c>
      <c r="N89" s="2">
        <v>24486</v>
      </c>
      <c r="P89" s="2" t="s">
        <v>365</v>
      </c>
      <c r="Q89" s="2" t="s">
        <v>366</v>
      </c>
    </row>
    <row r="90" spans="1:17" x14ac:dyDescent="0.2">
      <c r="A90" s="2" t="s">
        <v>346</v>
      </c>
      <c r="B90" s="2" t="s">
        <v>347</v>
      </c>
      <c r="D90" s="2" t="s">
        <v>348</v>
      </c>
      <c r="E90" s="2" t="s">
        <v>349</v>
      </c>
      <c r="F90" s="3">
        <v>46087.362250844904</v>
      </c>
      <c r="G90" s="2" t="s">
        <v>362</v>
      </c>
      <c r="H90" s="2" t="s">
        <v>363</v>
      </c>
      <c r="I90" s="2" t="s">
        <v>364</v>
      </c>
      <c r="J90" s="3" t="s">
        <v>95</v>
      </c>
      <c r="K90" s="2" t="s">
        <v>353</v>
      </c>
      <c r="L90" s="2"/>
      <c r="M90" s="2" t="s">
        <v>354</v>
      </c>
      <c r="N90" s="2">
        <v>-10216</v>
      </c>
      <c r="P90" s="2" t="s">
        <v>365</v>
      </c>
      <c r="Q90" s="2" t="s">
        <v>366</v>
      </c>
    </row>
    <row r="91" spans="1:17" x14ac:dyDescent="0.2">
      <c r="A91" s="2" t="s">
        <v>346</v>
      </c>
      <c r="B91" s="2" t="s">
        <v>347</v>
      </c>
      <c r="D91" s="2" t="s">
        <v>348</v>
      </c>
      <c r="E91" s="2" t="s">
        <v>349</v>
      </c>
      <c r="F91" s="3">
        <v>46087.363366562502</v>
      </c>
      <c r="G91" s="2" t="s">
        <v>362</v>
      </c>
      <c r="H91" s="2" t="s">
        <v>363</v>
      </c>
      <c r="I91" s="2" t="s">
        <v>364</v>
      </c>
      <c r="J91" s="3" t="s">
        <v>95</v>
      </c>
      <c r="K91" s="2" t="s">
        <v>353</v>
      </c>
      <c r="L91" s="2"/>
      <c r="M91" s="2" t="s">
        <v>354</v>
      </c>
      <c r="N91" s="2">
        <v>15375</v>
      </c>
      <c r="P91" s="2" t="s">
        <v>365</v>
      </c>
      <c r="Q91" s="2" t="s">
        <v>366</v>
      </c>
    </row>
    <row r="92" spans="1:17" x14ac:dyDescent="0.2">
      <c r="A92" s="2" t="s">
        <v>346</v>
      </c>
      <c r="B92" s="2" t="s">
        <v>347</v>
      </c>
      <c r="D92" s="2" t="s">
        <v>348</v>
      </c>
      <c r="E92" s="2" t="s">
        <v>349</v>
      </c>
      <c r="F92" s="3">
        <v>46087.363413171297</v>
      </c>
      <c r="G92" s="2" t="s">
        <v>362</v>
      </c>
      <c r="H92" s="2" t="s">
        <v>363</v>
      </c>
      <c r="I92" s="2" t="s">
        <v>364</v>
      </c>
      <c r="J92" s="3" t="s">
        <v>95</v>
      </c>
      <c r="K92" s="2" t="s">
        <v>353</v>
      </c>
      <c r="L92" s="2"/>
      <c r="M92" s="2" t="s">
        <v>354</v>
      </c>
      <c r="N92" s="2">
        <v>-24519</v>
      </c>
      <c r="P92" s="2" t="s">
        <v>365</v>
      </c>
      <c r="Q92" s="2" t="s">
        <v>366</v>
      </c>
    </row>
    <row r="93" spans="1:17" x14ac:dyDescent="0.2">
      <c r="A93" s="2" t="s">
        <v>346</v>
      </c>
      <c r="B93" s="2" t="s">
        <v>347</v>
      </c>
      <c r="D93" s="2" t="s">
        <v>348</v>
      </c>
      <c r="E93" s="2" t="s">
        <v>349</v>
      </c>
      <c r="F93" s="3">
        <v>46087.365831620373</v>
      </c>
      <c r="G93" s="2" t="s">
        <v>362</v>
      </c>
      <c r="H93" s="2" t="s">
        <v>363</v>
      </c>
      <c r="I93" s="2" t="s">
        <v>364</v>
      </c>
      <c r="J93" s="3" t="s">
        <v>95</v>
      </c>
      <c r="K93" s="2" t="s">
        <v>353</v>
      </c>
      <c r="L93" s="2"/>
      <c r="M93" s="2" t="s">
        <v>354</v>
      </c>
      <c r="N93" s="2">
        <v>13302</v>
      </c>
      <c r="P93" s="2" t="s">
        <v>365</v>
      </c>
      <c r="Q93" s="2" t="s">
        <v>366</v>
      </c>
    </row>
    <row r="94" spans="1:17" x14ac:dyDescent="0.2">
      <c r="A94" s="2" t="s">
        <v>346</v>
      </c>
      <c r="B94" s="2" t="s">
        <v>347</v>
      </c>
      <c r="D94" s="2" t="s">
        <v>348</v>
      </c>
      <c r="E94" s="2" t="s">
        <v>349</v>
      </c>
      <c r="F94" s="3">
        <v>46087.365912905094</v>
      </c>
      <c r="G94" s="2" t="s">
        <v>362</v>
      </c>
      <c r="H94" s="2" t="s">
        <v>363</v>
      </c>
      <c r="I94" s="2" t="s">
        <v>364</v>
      </c>
      <c r="J94" s="3" t="s">
        <v>95</v>
      </c>
      <c r="K94" s="2" t="s">
        <v>353</v>
      </c>
      <c r="L94" s="2"/>
      <c r="M94" s="2" t="s">
        <v>354</v>
      </c>
      <c r="N94" s="2">
        <v>-14302</v>
      </c>
      <c r="P94" s="2" t="s">
        <v>365</v>
      </c>
      <c r="Q94" s="2" t="s">
        <v>366</v>
      </c>
    </row>
    <row r="95" spans="1:17" x14ac:dyDescent="0.2">
      <c r="A95" s="2" t="s">
        <v>346</v>
      </c>
      <c r="B95" s="2" t="s">
        <v>347</v>
      </c>
      <c r="D95" s="2" t="s">
        <v>348</v>
      </c>
      <c r="E95" s="2" t="s">
        <v>349</v>
      </c>
      <c r="F95" s="3">
        <v>46087.366981828702</v>
      </c>
      <c r="G95" s="2" t="s">
        <v>362</v>
      </c>
      <c r="H95" s="2" t="s">
        <v>363</v>
      </c>
      <c r="I95" s="2" t="s">
        <v>364</v>
      </c>
      <c r="J95" s="3" t="s">
        <v>95</v>
      </c>
      <c r="K95" s="2" t="s">
        <v>353</v>
      </c>
      <c r="L95" s="2"/>
      <c r="M95" s="2" t="s">
        <v>354</v>
      </c>
      <c r="N95" s="2">
        <v>-14586</v>
      </c>
      <c r="P95" s="2" t="s">
        <v>365</v>
      </c>
      <c r="Q95" s="2" t="s">
        <v>366</v>
      </c>
    </row>
    <row r="96" spans="1:17" x14ac:dyDescent="0.2">
      <c r="A96" s="2" t="s">
        <v>346</v>
      </c>
      <c r="B96" s="2" t="s">
        <v>347</v>
      </c>
      <c r="D96" s="2" t="s">
        <v>348</v>
      </c>
      <c r="E96" s="2" t="s">
        <v>349</v>
      </c>
      <c r="F96" s="3">
        <v>46087.367063217593</v>
      </c>
      <c r="G96" s="2" t="s">
        <v>362</v>
      </c>
      <c r="H96" s="2" t="s">
        <v>363</v>
      </c>
      <c r="I96" s="2" t="s">
        <v>364</v>
      </c>
      <c r="J96" s="3" t="s">
        <v>95</v>
      </c>
      <c r="K96" s="2" t="s">
        <v>353</v>
      </c>
      <c r="L96" s="2"/>
      <c r="M96" s="2" t="s">
        <v>354</v>
      </c>
      <c r="N96" s="2">
        <v>15396</v>
      </c>
      <c r="P96" s="2" t="s">
        <v>365</v>
      </c>
      <c r="Q96" s="2" t="s">
        <v>366</v>
      </c>
    </row>
    <row r="97" spans="1:17" x14ac:dyDescent="0.2">
      <c r="A97" s="2" t="s">
        <v>346</v>
      </c>
      <c r="B97" s="2" t="s">
        <v>347</v>
      </c>
      <c r="D97" s="2" t="s">
        <v>348</v>
      </c>
      <c r="E97" s="2" t="s">
        <v>349</v>
      </c>
      <c r="F97" s="3">
        <v>46087.367539328705</v>
      </c>
      <c r="G97" s="2" t="s">
        <v>362</v>
      </c>
      <c r="H97" s="2" t="s">
        <v>363</v>
      </c>
      <c r="I97" s="2" t="s">
        <v>364</v>
      </c>
      <c r="J97" s="3" t="s">
        <v>95</v>
      </c>
      <c r="K97" s="2" t="s">
        <v>353</v>
      </c>
      <c r="L97" s="2"/>
      <c r="M97" s="2" t="s">
        <v>354</v>
      </c>
      <c r="N97" s="2">
        <v>15456</v>
      </c>
      <c r="P97" s="2" t="s">
        <v>365</v>
      </c>
      <c r="Q97" s="2" t="s">
        <v>366</v>
      </c>
    </row>
    <row r="98" spans="1:17" x14ac:dyDescent="0.2">
      <c r="A98" s="2" t="s">
        <v>346</v>
      </c>
      <c r="B98" s="2" t="s">
        <v>347</v>
      </c>
      <c r="D98" s="2" t="s">
        <v>348</v>
      </c>
      <c r="E98" s="2" t="s">
        <v>349</v>
      </c>
      <c r="F98" s="3">
        <v>46087.367620625002</v>
      </c>
      <c r="G98" s="2" t="s">
        <v>362</v>
      </c>
      <c r="H98" s="2" t="s">
        <v>363</v>
      </c>
      <c r="I98" s="2" t="s">
        <v>364</v>
      </c>
      <c r="J98" s="3" t="s">
        <v>95</v>
      </c>
      <c r="K98" s="2" t="s">
        <v>353</v>
      </c>
      <c r="L98" s="2"/>
      <c r="M98" s="2" t="s">
        <v>354</v>
      </c>
      <c r="N98" s="2">
        <v>-15682</v>
      </c>
      <c r="P98" s="2" t="s">
        <v>365</v>
      </c>
      <c r="Q98" s="2" t="s">
        <v>366</v>
      </c>
    </row>
    <row r="99" spans="1:17" x14ac:dyDescent="0.2">
      <c r="A99" s="2" t="s">
        <v>346</v>
      </c>
      <c r="B99" s="2" t="s">
        <v>347</v>
      </c>
      <c r="D99" s="2" t="s">
        <v>348</v>
      </c>
      <c r="E99" s="2" t="s">
        <v>349</v>
      </c>
      <c r="F99" s="3">
        <v>46087.367980821757</v>
      </c>
      <c r="G99" s="2" t="s">
        <v>362</v>
      </c>
      <c r="H99" s="2" t="s">
        <v>363</v>
      </c>
      <c r="I99" s="2" t="s">
        <v>364</v>
      </c>
      <c r="J99" s="3" t="s">
        <v>95</v>
      </c>
      <c r="K99" s="2" t="s">
        <v>353</v>
      </c>
      <c r="L99" s="2"/>
      <c r="M99" s="2" t="s">
        <v>354</v>
      </c>
      <c r="N99" s="2">
        <v>14206</v>
      </c>
      <c r="P99" s="2" t="s">
        <v>365</v>
      </c>
      <c r="Q99" s="2" t="s">
        <v>366</v>
      </c>
    </row>
    <row r="100" spans="1:17" x14ac:dyDescent="0.2">
      <c r="A100" s="2" t="s">
        <v>346</v>
      </c>
      <c r="B100" s="2" t="s">
        <v>347</v>
      </c>
      <c r="D100" s="2" t="s">
        <v>348</v>
      </c>
      <c r="E100" s="2" t="s">
        <v>349</v>
      </c>
      <c r="F100" s="3">
        <v>46087.368097199076</v>
      </c>
      <c r="G100" s="2" t="s">
        <v>362</v>
      </c>
      <c r="H100" s="2" t="s">
        <v>363</v>
      </c>
      <c r="I100" s="2" t="s">
        <v>364</v>
      </c>
      <c r="J100" s="3" t="s">
        <v>95</v>
      </c>
      <c r="K100" s="2" t="s">
        <v>353</v>
      </c>
      <c r="L100" s="2"/>
      <c r="M100" s="2" t="s">
        <v>354</v>
      </c>
      <c r="N100" s="2">
        <v>11607</v>
      </c>
      <c r="P100" s="2" t="s">
        <v>365</v>
      </c>
      <c r="Q100" s="2" t="s">
        <v>366</v>
      </c>
    </row>
    <row r="101" spans="1:17" x14ac:dyDescent="0.2">
      <c r="A101" s="2" t="s">
        <v>346</v>
      </c>
      <c r="B101" s="2" t="s">
        <v>347</v>
      </c>
      <c r="D101" s="2" t="s">
        <v>348</v>
      </c>
      <c r="E101" s="2" t="s">
        <v>349</v>
      </c>
      <c r="F101" s="3">
        <v>46087.368201817131</v>
      </c>
      <c r="G101" s="2" t="s">
        <v>362</v>
      </c>
      <c r="H101" s="2" t="s">
        <v>363</v>
      </c>
      <c r="I101" s="2" t="s">
        <v>364</v>
      </c>
      <c r="J101" s="3" t="s">
        <v>95</v>
      </c>
      <c r="K101" s="2" t="s">
        <v>353</v>
      </c>
      <c r="L101" s="2"/>
      <c r="M101" s="2" t="s">
        <v>354</v>
      </c>
      <c r="N101" s="2">
        <v>-15666</v>
      </c>
      <c r="P101" s="2" t="s">
        <v>365</v>
      </c>
      <c r="Q101" s="2" t="s">
        <v>366</v>
      </c>
    </row>
    <row r="102" spans="1:17" x14ac:dyDescent="0.2">
      <c r="A102" s="2" t="s">
        <v>346</v>
      </c>
      <c r="B102" s="2" t="s">
        <v>347</v>
      </c>
      <c r="D102" s="2" t="s">
        <v>348</v>
      </c>
      <c r="E102" s="2" t="s">
        <v>349</v>
      </c>
      <c r="F102" s="3">
        <v>46087.368248240738</v>
      </c>
      <c r="G102" s="2" t="s">
        <v>362</v>
      </c>
      <c r="H102" s="2" t="s">
        <v>363</v>
      </c>
      <c r="I102" s="2" t="s">
        <v>364</v>
      </c>
      <c r="J102" s="3" t="s">
        <v>95</v>
      </c>
      <c r="K102" s="2" t="s">
        <v>353</v>
      </c>
      <c r="L102" s="2"/>
      <c r="M102" s="2" t="s">
        <v>354</v>
      </c>
      <c r="N102" s="2">
        <v>27046</v>
      </c>
      <c r="P102" s="2" t="s">
        <v>365</v>
      </c>
      <c r="Q102" s="2" t="s">
        <v>366</v>
      </c>
    </row>
    <row r="103" spans="1:17" x14ac:dyDescent="0.2">
      <c r="A103" s="2" t="s">
        <v>346</v>
      </c>
      <c r="B103" s="2" t="s">
        <v>347</v>
      </c>
      <c r="D103" s="2" t="s">
        <v>348</v>
      </c>
      <c r="E103" s="2" t="s">
        <v>349</v>
      </c>
      <c r="F103" s="3">
        <v>46087.368515486109</v>
      </c>
      <c r="G103" s="2" t="s">
        <v>362</v>
      </c>
      <c r="H103" s="2" t="s">
        <v>363</v>
      </c>
      <c r="I103" s="2" t="s">
        <v>364</v>
      </c>
      <c r="J103" s="3" t="s">
        <v>95</v>
      </c>
      <c r="K103" s="2" t="s">
        <v>353</v>
      </c>
      <c r="L103" s="2"/>
      <c r="M103" s="2" t="s">
        <v>354</v>
      </c>
      <c r="N103" s="2">
        <v>-12111</v>
      </c>
      <c r="P103" s="2" t="s">
        <v>365</v>
      </c>
      <c r="Q103" s="2" t="s">
        <v>366</v>
      </c>
    </row>
    <row r="104" spans="1:17" x14ac:dyDescent="0.2">
      <c r="A104" s="2" t="s">
        <v>346</v>
      </c>
      <c r="B104" s="2" t="s">
        <v>347</v>
      </c>
      <c r="D104" s="2" t="s">
        <v>348</v>
      </c>
      <c r="E104" s="2" t="s">
        <v>349</v>
      </c>
      <c r="F104" s="3">
        <v>46087.368550393519</v>
      </c>
      <c r="G104" s="2" t="s">
        <v>362</v>
      </c>
      <c r="H104" s="2" t="s">
        <v>363</v>
      </c>
      <c r="I104" s="2" t="s">
        <v>364</v>
      </c>
      <c r="J104" s="3" t="s">
        <v>95</v>
      </c>
      <c r="K104" s="2" t="s">
        <v>353</v>
      </c>
      <c r="L104" s="2"/>
      <c r="M104" s="2" t="s">
        <v>354</v>
      </c>
      <c r="N104" s="2">
        <v>20763</v>
      </c>
      <c r="P104" s="2" t="s">
        <v>365</v>
      </c>
      <c r="Q104" s="2" t="s">
        <v>366</v>
      </c>
    </row>
    <row r="105" spans="1:17" x14ac:dyDescent="0.2">
      <c r="A105" s="2" t="s">
        <v>346</v>
      </c>
      <c r="B105" s="2" t="s">
        <v>347</v>
      </c>
      <c r="D105" s="2" t="s">
        <v>348</v>
      </c>
      <c r="E105" s="2" t="s">
        <v>349</v>
      </c>
      <c r="F105" s="3">
        <v>46087.368585162039</v>
      </c>
      <c r="G105" s="2" t="s">
        <v>362</v>
      </c>
      <c r="H105" s="2" t="s">
        <v>363</v>
      </c>
      <c r="I105" s="2" t="s">
        <v>364</v>
      </c>
      <c r="J105" s="3" t="s">
        <v>95</v>
      </c>
      <c r="K105" s="2" t="s">
        <v>353</v>
      </c>
      <c r="L105" s="2"/>
      <c r="M105" s="2" t="s">
        <v>354</v>
      </c>
      <c r="N105" s="2">
        <v>-19821</v>
      </c>
      <c r="P105" s="2" t="s">
        <v>365</v>
      </c>
      <c r="Q105" s="2" t="s">
        <v>366</v>
      </c>
    </row>
    <row r="106" spans="1:17" x14ac:dyDescent="0.2">
      <c r="A106" s="2" t="s">
        <v>346</v>
      </c>
      <c r="B106" s="2" t="s">
        <v>347</v>
      </c>
      <c r="D106" s="2" t="s">
        <v>348</v>
      </c>
      <c r="E106" s="2" t="s">
        <v>349</v>
      </c>
      <c r="F106" s="3">
        <v>46087.368713148149</v>
      </c>
      <c r="G106" s="2" t="s">
        <v>362</v>
      </c>
      <c r="H106" s="2" t="s">
        <v>363</v>
      </c>
      <c r="I106" s="2" t="s">
        <v>364</v>
      </c>
      <c r="J106" s="3" t="s">
        <v>95</v>
      </c>
      <c r="K106" s="2" t="s">
        <v>353</v>
      </c>
      <c r="L106" s="2"/>
      <c r="M106" s="2" t="s">
        <v>354</v>
      </c>
      <c r="N106" s="2">
        <v>16744</v>
      </c>
      <c r="P106" s="2" t="s">
        <v>365</v>
      </c>
      <c r="Q106" s="2" t="s">
        <v>366</v>
      </c>
    </row>
    <row r="107" spans="1:17" x14ac:dyDescent="0.2">
      <c r="A107" s="2" t="s">
        <v>346</v>
      </c>
      <c r="B107" s="2" t="s">
        <v>347</v>
      </c>
      <c r="D107" s="2" t="s">
        <v>348</v>
      </c>
      <c r="E107" s="2" t="s">
        <v>349</v>
      </c>
      <c r="F107" s="3">
        <v>46087.368736574077</v>
      </c>
      <c r="G107" s="2" t="s">
        <v>362</v>
      </c>
      <c r="H107" s="2" t="s">
        <v>363</v>
      </c>
      <c r="I107" s="2" t="s">
        <v>364</v>
      </c>
      <c r="J107" s="3" t="s">
        <v>95</v>
      </c>
      <c r="K107" s="2" t="s">
        <v>353</v>
      </c>
      <c r="L107" s="2"/>
      <c r="M107" s="2" t="s">
        <v>354</v>
      </c>
      <c r="N107" s="2">
        <v>-15435</v>
      </c>
      <c r="P107" s="2" t="s">
        <v>365</v>
      </c>
      <c r="Q107" s="2" t="s">
        <v>366</v>
      </c>
    </row>
    <row r="108" spans="1:17" x14ac:dyDescent="0.2">
      <c r="A108" s="2" t="s">
        <v>346</v>
      </c>
      <c r="B108" s="2" t="s">
        <v>347</v>
      </c>
      <c r="D108" s="2" t="s">
        <v>348</v>
      </c>
      <c r="E108" s="2" t="s">
        <v>349</v>
      </c>
      <c r="F108" s="3">
        <v>46087.368771562498</v>
      </c>
      <c r="G108" s="2" t="s">
        <v>362</v>
      </c>
      <c r="H108" s="2" t="s">
        <v>363</v>
      </c>
      <c r="I108" s="2" t="s">
        <v>364</v>
      </c>
      <c r="J108" s="3" t="s">
        <v>95</v>
      </c>
      <c r="K108" s="2" t="s">
        <v>353</v>
      </c>
      <c r="L108" s="2"/>
      <c r="M108" s="2" t="s">
        <v>354</v>
      </c>
      <c r="N108" s="2">
        <v>30073</v>
      </c>
      <c r="P108" s="2" t="s">
        <v>365</v>
      </c>
      <c r="Q108" s="2" t="s">
        <v>366</v>
      </c>
    </row>
    <row r="109" spans="1:17" x14ac:dyDescent="0.2">
      <c r="A109" s="2" t="s">
        <v>346</v>
      </c>
      <c r="B109" s="2" t="s">
        <v>347</v>
      </c>
      <c r="D109" s="2" t="s">
        <v>348</v>
      </c>
      <c r="E109" s="2" t="s">
        <v>349</v>
      </c>
      <c r="F109" s="3">
        <v>46087.368817905095</v>
      </c>
      <c r="G109" s="2" t="s">
        <v>362</v>
      </c>
      <c r="H109" s="2" t="s">
        <v>363</v>
      </c>
      <c r="I109" s="2" t="s">
        <v>364</v>
      </c>
      <c r="J109" s="3" t="s">
        <v>95</v>
      </c>
      <c r="K109" s="2" t="s">
        <v>353</v>
      </c>
      <c r="L109" s="2"/>
      <c r="M109" s="2" t="s">
        <v>354</v>
      </c>
      <c r="N109" s="2">
        <v>29788</v>
      </c>
      <c r="P109" s="2" t="s">
        <v>365</v>
      </c>
      <c r="Q109" s="2" t="s">
        <v>366</v>
      </c>
    </row>
    <row r="110" spans="1:17" x14ac:dyDescent="0.2">
      <c r="A110" s="2" t="s">
        <v>346</v>
      </c>
      <c r="B110" s="2" t="s">
        <v>347</v>
      </c>
      <c r="D110" s="2" t="s">
        <v>348</v>
      </c>
      <c r="E110" s="2" t="s">
        <v>349</v>
      </c>
      <c r="F110" s="3">
        <v>46087.368829571758</v>
      </c>
      <c r="G110" s="2" t="s">
        <v>362</v>
      </c>
      <c r="H110" s="2" t="s">
        <v>363</v>
      </c>
      <c r="I110" s="2" t="s">
        <v>364</v>
      </c>
      <c r="J110" s="3" t="s">
        <v>95</v>
      </c>
      <c r="K110" s="2" t="s">
        <v>353</v>
      </c>
      <c r="L110" s="2"/>
      <c r="M110" s="2" t="s">
        <v>354</v>
      </c>
      <c r="N110" s="2">
        <v>-10051</v>
      </c>
      <c r="P110" s="2" t="s">
        <v>365</v>
      </c>
      <c r="Q110" s="2" t="s">
        <v>366</v>
      </c>
    </row>
    <row r="111" spans="1:17" x14ac:dyDescent="0.2">
      <c r="A111" s="2" t="s">
        <v>346</v>
      </c>
      <c r="B111" s="2" t="s">
        <v>347</v>
      </c>
      <c r="D111" s="2" t="s">
        <v>348</v>
      </c>
      <c r="E111" s="2" t="s">
        <v>349</v>
      </c>
      <c r="F111" s="3">
        <v>46087.368852812499</v>
      </c>
      <c r="G111" s="2" t="s">
        <v>362</v>
      </c>
      <c r="H111" s="2" t="s">
        <v>363</v>
      </c>
      <c r="I111" s="2" t="s">
        <v>364</v>
      </c>
      <c r="J111" s="3" t="s">
        <v>95</v>
      </c>
      <c r="K111" s="2" t="s">
        <v>353</v>
      </c>
      <c r="L111" s="2"/>
      <c r="M111" s="2" t="s">
        <v>354</v>
      </c>
      <c r="N111" s="2">
        <v>19980</v>
      </c>
      <c r="P111" s="2" t="s">
        <v>365</v>
      </c>
      <c r="Q111" s="2" t="s">
        <v>366</v>
      </c>
    </row>
    <row r="112" spans="1:17" x14ac:dyDescent="0.2">
      <c r="A112" s="2" t="s">
        <v>346</v>
      </c>
      <c r="B112" s="2" t="s">
        <v>347</v>
      </c>
      <c r="D112" s="2" t="s">
        <v>348</v>
      </c>
      <c r="E112" s="2" t="s">
        <v>349</v>
      </c>
      <c r="F112" s="3">
        <v>46087.368876678243</v>
      </c>
      <c r="G112" s="2" t="s">
        <v>350</v>
      </c>
      <c r="H112" s="2" t="s">
        <v>351</v>
      </c>
      <c r="I112" s="2" t="s">
        <v>352</v>
      </c>
      <c r="J112" s="3" t="s">
        <v>95</v>
      </c>
      <c r="K112" s="2" t="s">
        <v>353</v>
      </c>
      <c r="L112" s="2"/>
      <c r="M112" s="2" t="s">
        <v>354</v>
      </c>
      <c r="N112" s="2">
        <v>74.27</v>
      </c>
      <c r="P112" s="2" t="s">
        <v>355</v>
      </c>
      <c r="Q112" s="2" t="s">
        <v>356</v>
      </c>
    </row>
    <row r="113" spans="1:17" x14ac:dyDescent="0.2">
      <c r="A113" s="2" t="s">
        <v>346</v>
      </c>
      <c r="B113" s="2" t="s">
        <v>347</v>
      </c>
      <c r="D113" s="2" t="s">
        <v>348</v>
      </c>
      <c r="E113" s="2" t="s">
        <v>349</v>
      </c>
      <c r="F113" s="3">
        <v>46087.369015567128</v>
      </c>
      <c r="G113" s="2" t="s">
        <v>362</v>
      </c>
      <c r="H113" s="2" t="s">
        <v>363</v>
      </c>
      <c r="I113" s="2" t="s">
        <v>364</v>
      </c>
      <c r="J113" s="3" t="s">
        <v>95</v>
      </c>
      <c r="K113" s="2" t="s">
        <v>353</v>
      </c>
      <c r="L113" s="2"/>
      <c r="M113" s="2" t="s">
        <v>354</v>
      </c>
      <c r="N113" s="2">
        <v>28613</v>
      </c>
      <c r="P113" s="2" t="s">
        <v>365</v>
      </c>
      <c r="Q113" s="2" t="s">
        <v>366</v>
      </c>
    </row>
    <row r="114" spans="1:17" x14ac:dyDescent="0.2">
      <c r="A114" s="2" t="s">
        <v>346</v>
      </c>
      <c r="B114" s="2" t="s">
        <v>347</v>
      </c>
      <c r="D114" s="2" t="s">
        <v>348</v>
      </c>
      <c r="E114" s="2" t="s">
        <v>349</v>
      </c>
      <c r="F114" s="3">
        <v>46087.369062094906</v>
      </c>
      <c r="G114" s="2" t="s">
        <v>362</v>
      </c>
      <c r="H114" s="2" t="s">
        <v>363</v>
      </c>
      <c r="I114" s="2" t="s">
        <v>364</v>
      </c>
      <c r="J114" s="3" t="s">
        <v>95</v>
      </c>
      <c r="K114" s="2" t="s">
        <v>353</v>
      </c>
      <c r="L114" s="2"/>
      <c r="M114" s="2" t="s">
        <v>354</v>
      </c>
      <c r="N114" s="2">
        <v>-10767</v>
      </c>
      <c r="P114" s="2" t="s">
        <v>365</v>
      </c>
      <c r="Q114" s="2" t="s">
        <v>366</v>
      </c>
    </row>
    <row r="115" spans="1:17" x14ac:dyDescent="0.2">
      <c r="A115" s="2" t="s">
        <v>346</v>
      </c>
      <c r="B115" s="2" t="s">
        <v>347</v>
      </c>
      <c r="D115" s="2" t="s">
        <v>348</v>
      </c>
      <c r="E115" s="2" t="s">
        <v>349</v>
      </c>
      <c r="F115" s="3">
        <v>46087.36909699074</v>
      </c>
      <c r="G115" s="2" t="s">
        <v>362</v>
      </c>
      <c r="H115" s="2" t="s">
        <v>363</v>
      </c>
      <c r="I115" s="2" t="s">
        <v>364</v>
      </c>
      <c r="J115" s="3" t="s">
        <v>95</v>
      </c>
      <c r="K115" s="2" t="s">
        <v>353</v>
      </c>
      <c r="L115" s="2"/>
      <c r="M115" s="2" t="s">
        <v>354</v>
      </c>
      <c r="N115" s="2">
        <v>17664</v>
      </c>
      <c r="P115" s="2" t="s">
        <v>365</v>
      </c>
      <c r="Q115" s="2" t="s">
        <v>366</v>
      </c>
    </row>
    <row r="116" spans="1:17" x14ac:dyDescent="0.2">
      <c r="A116" s="2" t="s">
        <v>346</v>
      </c>
      <c r="B116" s="2" t="s">
        <v>347</v>
      </c>
      <c r="D116" s="2" t="s">
        <v>348</v>
      </c>
      <c r="E116" s="2" t="s">
        <v>349</v>
      </c>
      <c r="F116" s="3">
        <v>46087.369271423609</v>
      </c>
      <c r="G116" s="2" t="s">
        <v>362</v>
      </c>
      <c r="H116" s="2" t="s">
        <v>363</v>
      </c>
      <c r="I116" s="2" t="s">
        <v>364</v>
      </c>
      <c r="J116" s="3" t="s">
        <v>95</v>
      </c>
      <c r="K116" s="2" t="s">
        <v>353</v>
      </c>
      <c r="L116" s="2"/>
      <c r="M116" s="2" t="s">
        <v>354</v>
      </c>
      <c r="N116" s="2">
        <v>-19266</v>
      </c>
      <c r="P116" s="2" t="s">
        <v>365</v>
      </c>
      <c r="Q116" s="2" t="s">
        <v>366</v>
      </c>
    </row>
    <row r="117" spans="1:17" x14ac:dyDescent="0.2">
      <c r="A117" s="2" t="s">
        <v>346</v>
      </c>
      <c r="B117" s="2" t="s">
        <v>347</v>
      </c>
      <c r="D117" s="2" t="s">
        <v>348</v>
      </c>
      <c r="E117" s="2" t="s">
        <v>349</v>
      </c>
      <c r="F117" s="3">
        <v>46087.36942260417</v>
      </c>
      <c r="G117" s="2" t="s">
        <v>362</v>
      </c>
      <c r="H117" s="2" t="s">
        <v>363</v>
      </c>
      <c r="I117" s="2" t="s">
        <v>364</v>
      </c>
      <c r="J117" s="3" t="s">
        <v>95</v>
      </c>
      <c r="K117" s="2" t="s">
        <v>353</v>
      </c>
      <c r="L117" s="2"/>
      <c r="M117" s="2" t="s">
        <v>354</v>
      </c>
      <c r="N117" s="2">
        <v>30195</v>
      </c>
      <c r="P117" s="2" t="s">
        <v>365</v>
      </c>
      <c r="Q117" s="2" t="s">
        <v>366</v>
      </c>
    </row>
    <row r="118" spans="1:17" x14ac:dyDescent="0.2">
      <c r="A118" s="2" t="s">
        <v>346</v>
      </c>
      <c r="B118" s="2" t="s">
        <v>347</v>
      </c>
      <c r="D118" s="2" t="s">
        <v>348</v>
      </c>
      <c r="E118" s="2" t="s">
        <v>349</v>
      </c>
      <c r="F118" s="3">
        <v>46087.369515601851</v>
      </c>
      <c r="G118" s="2" t="s">
        <v>362</v>
      </c>
      <c r="H118" s="2" t="s">
        <v>363</v>
      </c>
      <c r="I118" s="2" t="s">
        <v>364</v>
      </c>
      <c r="J118" s="3" t="s">
        <v>95</v>
      </c>
      <c r="K118" s="2" t="s">
        <v>353</v>
      </c>
      <c r="L118" s="2"/>
      <c r="M118" s="2" t="s">
        <v>354</v>
      </c>
      <c r="N118" s="2">
        <v>23907</v>
      </c>
      <c r="P118" s="2" t="s">
        <v>365</v>
      </c>
      <c r="Q118" s="2" t="s">
        <v>366</v>
      </c>
    </row>
    <row r="119" spans="1:17" x14ac:dyDescent="0.2">
      <c r="A119" s="2" t="s">
        <v>346</v>
      </c>
      <c r="B119" s="2" t="s">
        <v>347</v>
      </c>
      <c r="D119" s="2" t="s">
        <v>348</v>
      </c>
      <c r="E119" s="2" t="s">
        <v>349</v>
      </c>
      <c r="F119" s="3">
        <v>46087.369527175928</v>
      </c>
      <c r="G119" s="2" t="s">
        <v>362</v>
      </c>
      <c r="H119" s="2" t="s">
        <v>363</v>
      </c>
      <c r="I119" s="2" t="s">
        <v>364</v>
      </c>
      <c r="J119" s="3" t="s">
        <v>95</v>
      </c>
      <c r="K119" s="2" t="s">
        <v>353</v>
      </c>
      <c r="L119" s="2"/>
      <c r="M119" s="2" t="s">
        <v>354</v>
      </c>
      <c r="N119" s="2">
        <v>-13322</v>
      </c>
      <c r="P119" s="2" t="s">
        <v>365</v>
      </c>
      <c r="Q119" s="2" t="s">
        <v>366</v>
      </c>
    </row>
    <row r="120" spans="1:17" x14ac:dyDescent="0.2">
      <c r="A120" s="2" t="s">
        <v>346</v>
      </c>
      <c r="B120" s="2" t="s">
        <v>347</v>
      </c>
      <c r="D120" s="2" t="s">
        <v>348</v>
      </c>
      <c r="E120" s="2" t="s">
        <v>349</v>
      </c>
      <c r="F120" s="3">
        <v>46087.3696203125</v>
      </c>
      <c r="G120" s="2" t="s">
        <v>362</v>
      </c>
      <c r="H120" s="2" t="s">
        <v>363</v>
      </c>
      <c r="I120" s="2" t="s">
        <v>364</v>
      </c>
      <c r="J120" s="3" t="s">
        <v>95</v>
      </c>
      <c r="K120" s="2" t="s">
        <v>353</v>
      </c>
      <c r="L120" s="2"/>
      <c r="M120" s="2" t="s">
        <v>354</v>
      </c>
      <c r="N120" s="2">
        <v>34169</v>
      </c>
      <c r="P120" s="2" t="s">
        <v>365</v>
      </c>
      <c r="Q120" s="2" t="s">
        <v>366</v>
      </c>
    </row>
    <row r="121" spans="1:17" x14ac:dyDescent="0.2">
      <c r="A121" s="2" t="s">
        <v>346</v>
      </c>
      <c r="B121" s="2" t="s">
        <v>347</v>
      </c>
      <c r="D121" s="2" t="s">
        <v>348</v>
      </c>
      <c r="E121" s="2" t="s">
        <v>349</v>
      </c>
      <c r="F121" s="3">
        <v>46087.369643645834</v>
      </c>
      <c r="G121" s="2" t="s">
        <v>362</v>
      </c>
      <c r="H121" s="2" t="s">
        <v>363</v>
      </c>
      <c r="I121" s="2" t="s">
        <v>364</v>
      </c>
      <c r="J121" s="3" t="s">
        <v>95</v>
      </c>
      <c r="K121" s="2" t="s">
        <v>353</v>
      </c>
      <c r="L121" s="2"/>
      <c r="M121" s="2" t="s">
        <v>354</v>
      </c>
      <c r="N121" s="2">
        <v>-18200</v>
      </c>
      <c r="P121" s="2" t="s">
        <v>365</v>
      </c>
      <c r="Q121" s="2" t="s">
        <v>366</v>
      </c>
    </row>
    <row r="122" spans="1:17" x14ac:dyDescent="0.2">
      <c r="A122" s="2" t="s">
        <v>346</v>
      </c>
      <c r="B122" s="2" t="s">
        <v>347</v>
      </c>
      <c r="D122" s="2" t="s">
        <v>348</v>
      </c>
      <c r="E122" s="2" t="s">
        <v>349</v>
      </c>
      <c r="F122" s="3">
        <v>46087.369771412035</v>
      </c>
      <c r="G122" s="2" t="s">
        <v>362</v>
      </c>
      <c r="H122" s="2" t="s">
        <v>363</v>
      </c>
      <c r="I122" s="2" t="s">
        <v>364</v>
      </c>
      <c r="J122" s="3" t="s">
        <v>95</v>
      </c>
      <c r="K122" s="2" t="s">
        <v>353</v>
      </c>
      <c r="L122" s="2"/>
      <c r="M122" s="2" t="s">
        <v>354</v>
      </c>
      <c r="N122" s="2">
        <v>41358</v>
      </c>
      <c r="P122" s="2" t="s">
        <v>365</v>
      </c>
      <c r="Q122" s="2" t="s">
        <v>366</v>
      </c>
    </row>
    <row r="123" spans="1:17" x14ac:dyDescent="0.2">
      <c r="A123" s="2" t="s">
        <v>346</v>
      </c>
      <c r="B123" s="2" t="s">
        <v>347</v>
      </c>
      <c r="D123" s="2" t="s">
        <v>348</v>
      </c>
      <c r="E123" s="2" t="s">
        <v>349</v>
      </c>
      <c r="F123" s="3">
        <v>46087.369933946757</v>
      </c>
      <c r="G123" s="2" t="s">
        <v>362</v>
      </c>
      <c r="H123" s="2" t="s">
        <v>363</v>
      </c>
      <c r="I123" s="2" t="s">
        <v>364</v>
      </c>
      <c r="J123" s="3" t="s">
        <v>95</v>
      </c>
      <c r="K123" s="2" t="s">
        <v>353</v>
      </c>
      <c r="L123" s="2"/>
      <c r="M123" s="2" t="s">
        <v>354</v>
      </c>
      <c r="N123" s="2">
        <v>-9451</v>
      </c>
      <c r="P123" s="2" t="s">
        <v>365</v>
      </c>
      <c r="Q123" s="2" t="s">
        <v>366</v>
      </c>
    </row>
    <row r="124" spans="1:17" x14ac:dyDescent="0.2">
      <c r="A124" s="2" t="s">
        <v>346</v>
      </c>
      <c r="B124" s="2" t="s">
        <v>347</v>
      </c>
      <c r="D124" s="2" t="s">
        <v>348</v>
      </c>
      <c r="E124" s="2" t="s">
        <v>349</v>
      </c>
      <c r="F124" s="3">
        <v>46087.370039328707</v>
      </c>
      <c r="G124" s="2" t="s">
        <v>350</v>
      </c>
      <c r="H124" s="2" t="s">
        <v>351</v>
      </c>
      <c r="I124" s="2" t="s">
        <v>352</v>
      </c>
      <c r="J124" s="3" t="s">
        <v>95</v>
      </c>
      <c r="K124" s="2" t="s">
        <v>353</v>
      </c>
      <c r="L124" s="2"/>
      <c r="M124" s="2" t="s">
        <v>354</v>
      </c>
      <c r="N124" s="2">
        <v>73.17</v>
      </c>
      <c r="P124" s="2" t="s">
        <v>355</v>
      </c>
      <c r="Q124" s="2" t="s">
        <v>356</v>
      </c>
    </row>
    <row r="125" spans="1:17" x14ac:dyDescent="0.2">
      <c r="A125" s="2" t="s">
        <v>346</v>
      </c>
      <c r="B125" s="2" t="s">
        <v>347</v>
      </c>
      <c r="D125" s="2" t="s">
        <v>348</v>
      </c>
      <c r="E125" s="2" t="s">
        <v>349</v>
      </c>
      <c r="F125" s="3">
        <v>46087.370154756944</v>
      </c>
      <c r="G125" s="2" t="s">
        <v>362</v>
      </c>
      <c r="H125" s="2" t="s">
        <v>363</v>
      </c>
      <c r="I125" s="2" t="s">
        <v>364</v>
      </c>
      <c r="J125" s="3" t="s">
        <v>95</v>
      </c>
      <c r="K125" s="2" t="s">
        <v>353</v>
      </c>
      <c r="L125" s="2"/>
      <c r="M125" s="2" t="s">
        <v>354</v>
      </c>
      <c r="N125" s="2">
        <v>-9447</v>
      </c>
      <c r="P125" s="2" t="s">
        <v>365</v>
      </c>
      <c r="Q125" s="2" t="s">
        <v>366</v>
      </c>
    </row>
    <row r="126" spans="1:17" x14ac:dyDescent="0.2">
      <c r="A126" s="2" t="s">
        <v>346</v>
      </c>
      <c r="B126" s="2" t="s">
        <v>347</v>
      </c>
      <c r="D126" s="2" t="s">
        <v>348</v>
      </c>
      <c r="E126" s="2" t="s">
        <v>349</v>
      </c>
      <c r="F126" s="3">
        <v>46087.370212939815</v>
      </c>
      <c r="G126" s="2" t="s">
        <v>362</v>
      </c>
      <c r="H126" s="2" t="s">
        <v>363</v>
      </c>
      <c r="I126" s="2" t="s">
        <v>364</v>
      </c>
      <c r="J126" s="3" t="s">
        <v>95</v>
      </c>
      <c r="K126" s="2" t="s">
        <v>353</v>
      </c>
      <c r="L126" s="2"/>
      <c r="M126" s="2" t="s">
        <v>354</v>
      </c>
      <c r="N126" s="2">
        <v>23184</v>
      </c>
      <c r="P126" s="2" t="s">
        <v>365</v>
      </c>
      <c r="Q126" s="2" t="s">
        <v>366</v>
      </c>
    </row>
    <row r="127" spans="1:17" x14ac:dyDescent="0.2">
      <c r="A127" s="2" t="s">
        <v>346</v>
      </c>
      <c r="B127" s="2" t="s">
        <v>347</v>
      </c>
      <c r="D127" s="2" t="s">
        <v>348</v>
      </c>
      <c r="E127" s="2" t="s">
        <v>349</v>
      </c>
      <c r="F127" s="3">
        <v>46087.370224560182</v>
      </c>
      <c r="G127" s="2" t="s">
        <v>362</v>
      </c>
      <c r="H127" s="2" t="s">
        <v>363</v>
      </c>
      <c r="I127" s="2" t="s">
        <v>364</v>
      </c>
      <c r="J127" s="3" t="s">
        <v>95</v>
      </c>
      <c r="K127" s="2" t="s">
        <v>353</v>
      </c>
      <c r="L127" s="2"/>
      <c r="M127" s="2" t="s">
        <v>354</v>
      </c>
      <c r="N127" s="2">
        <v>-9685</v>
      </c>
      <c r="P127" s="2" t="s">
        <v>365</v>
      </c>
      <c r="Q127" s="2" t="s">
        <v>366</v>
      </c>
    </row>
    <row r="128" spans="1:17" x14ac:dyDescent="0.2">
      <c r="A128" s="2" t="s">
        <v>346</v>
      </c>
      <c r="B128" s="2" t="s">
        <v>347</v>
      </c>
      <c r="D128" s="2" t="s">
        <v>348</v>
      </c>
      <c r="E128" s="2" t="s">
        <v>349</v>
      </c>
      <c r="F128" s="3">
        <v>46087.370480324178</v>
      </c>
      <c r="G128" s="2" t="s">
        <v>362</v>
      </c>
      <c r="H128" s="2" t="s">
        <v>363</v>
      </c>
      <c r="I128" s="2" t="s">
        <v>364</v>
      </c>
      <c r="J128" s="3" t="s">
        <v>95</v>
      </c>
      <c r="K128" s="2" t="s">
        <v>353</v>
      </c>
      <c r="L128" s="2"/>
      <c r="M128" s="2" t="s">
        <v>354</v>
      </c>
      <c r="N128" s="2">
        <v>21990</v>
      </c>
      <c r="P128" s="2" t="s">
        <v>365</v>
      </c>
      <c r="Q128" s="2" t="s">
        <v>366</v>
      </c>
    </row>
    <row r="129" spans="1:17" x14ac:dyDescent="0.2">
      <c r="A129" s="2" t="s">
        <v>346</v>
      </c>
      <c r="B129" s="2" t="s">
        <v>347</v>
      </c>
      <c r="D129" s="2" t="s">
        <v>348</v>
      </c>
      <c r="E129" s="2" t="s">
        <v>349</v>
      </c>
      <c r="F129" s="3">
        <v>46087.370491944443</v>
      </c>
      <c r="G129" s="2" t="s">
        <v>362</v>
      </c>
      <c r="H129" s="2" t="s">
        <v>363</v>
      </c>
      <c r="I129" s="2" t="s">
        <v>364</v>
      </c>
      <c r="J129" s="3" t="s">
        <v>95</v>
      </c>
      <c r="K129" s="2" t="s">
        <v>353</v>
      </c>
      <c r="L129" s="2"/>
      <c r="M129" s="2" t="s">
        <v>354</v>
      </c>
      <c r="N129" s="2">
        <v>-10797</v>
      </c>
      <c r="P129" s="2" t="s">
        <v>365</v>
      </c>
      <c r="Q129" s="2" t="s">
        <v>366</v>
      </c>
    </row>
    <row r="130" spans="1:17" x14ac:dyDescent="0.2">
      <c r="A130" s="2" t="s">
        <v>346</v>
      </c>
      <c r="B130" s="2" t="s">
        <v>347</v>
      </c>
      <c r="D130" s="2" t="s">
        <v>348</v>
      </c>
      <c r="E130" s="2" t="s">
        <v>349</v>
      </c>
      <c r="F130" s="3">
        <v>46087.370736990742</v>
      </c>
      <c r="G130" s="2" t="s">
        <v>362</v>
      </c>
      <c r="H130" s="2" t="s">
        <v>363</v>
      </c>
      <c r="I130" s="2" t="s">
        <v>364</v>
      </c>
      <c r="J130" s="3" t="s">
        <v>95</v>
      </c>
      <c r="K130" s="2" t="s">
        <v>353</v>
      </c>
      <c r="L130" s="2"/>
      <c r="M130" s="2" t="s">
        <v>354</v>
      </c>
      <c r="N130" s="2">
        <v>31261</v>
      </c>
      <c r="P130" s="2" t="s">
        <v>365</v>
      </c>
      <c r="Q130" s="2" t="s">
        <v>366</v>
      </c>
    </row>
    <row r="131" spans="1:17" x14ac:dyDescent="0.2">
      <c r="A131" s="2" t="s">
        <v>346</v>
      </c>
      <c r="B131" s="2" t="s">
        <v>347</v>
      </c>
      <c r="D131" s="2" t="s">
        <v>348</v>
      </c>
      <c r="E131" s="2" t="s">
        <v>349</v>
      </c>
      <c r="F131" s="3">
        <v>46087.370783506944</v>
      </c>
      <c r="G131" s="2" t="s">
        <v>362</v>
      </c>
      <c r="H131" s="2" t="s">
        <v>363</v>
      </c>
      <c r="I131" s="2" t="s">
        <v>364</v>
      </c>
      <c r="J131" s="3" t="s">
        <v>95</v>
      </c>
      <c r="K131" s="2" t="s">
        <v>353</v>
      </c>
      <c r="L131" s="2"/>
      <c r="M131" s="2" t="s">
        <v>354</v>
      </c>
      <c r="N131" s="2">
        <v>29080</v>
      </c>
      <c r="P131" s="2" t="s">
        <v>365</v>
      </c>
      <c r="Q131" s="2" t="s">
        <v>366</v>
      </c>
    </row>
    <row r="132" spans="1:17" x14ac:dyDescent="0.2">
      <c r="A132" s="2" t="s">
        <v>346</v>
      </c>
      <c r="B132" s="2" t="s">
        <v>347</v>
      </c>
      <c r="D132" s="2" t="s">
        <v>348</v>
      </c>
      <c r="E132" s="2" t="s">
        <v>349</v>
      </c>
      <c r="F132" s="3">
        <v>46087.370795173614</v>
      </c>
      <c r="G132" s="2" t="s">
        <v>362</v>
      </c>
      <c r="H132" s="2" t="s">
        <v>363</v>
      </c>
      <c r="I132" s="2" t="s">
        <v>364</v>
      </c>
      <c r="J132" s="3" t="s">
        <v>95</v>
      </c>
      <c r="K132" s="2" t="s">
        <v>353</v>
      </c>
      <c r="L132" s="2"/>
      <c r="M132" s="2" t="s">
        <v>354</v>
      </c>
      <c r="N132" s="2">
        <v>-12722</v>
      </c>
      <c r="P132" s="2" t="s">
        <v>365</v>
      </c>
      <c r="Q132" s="2" t="s">
        <v>366</v>
      </c>
    </row>
    <row r="133" spans="1:17" x14ac:dyDescent="0.2">
      <c r="A133" s="2" t="s">
        <v>346</v>
      </c>
      <c r="B133" s="2" t="s">
        <v>347</v>
      </c>
      <c r="D133" s="2" t="s">
        <v>348</v>
      </c>
      <c r="E133" s="2" t="s">
        <v>349</v>
      </c>
      <c r="F133" s="3">
        <v>46087.370853275461</v>
      </c>
      <c r="G133" s="2" t="s">
        <v>362</v>
      </c>
      <c r="H133" s="2" t="s">
        <v>363</v>
      </c>
      <c r="I133" s="2" t="s">
        <v>364</v>
      </c>
      <c r="J133" s="3" t="s">
        <v>95</v>
      </c>
      <c r="K133" s="2" t="s">
        <v>353</v>
      </c>
      <c r="L133" s="2"/>
      <c r="M133" s="2" t="s">
        <v>354</v>
      </c>
      <c r="N133" s="2">
        <v>15168</v>
      </c>
      <c r="P133" s="2" t="s">
        <v>365</v>
      </c>
      <c r="Q133" s="2" t="s">
        <v>366</v>
      </c>
    </row>
    <row r="134" spans="1:17" x14ac:dyDescent="0.2">
      <c r="A134" s="2" t="s">
        <v>346</v>
      </c>
      <c r="B134" s="2" t="s">
        <v>347</v>
      </c>
      <c r="D134" s="2" t="s">
        <v>348</v>
      </c>
      <c r="E134" s="2" t="s">
        <v>349</v>
      </c>
      <c r="F134" s="3">
        <v>46087.370899571761</v>
      </c>
      <c r="G134" s="2" t="s">
        <v>362</v>
      </c>
      <c r="H134" s="2" t="s">
        <v>363</v>
      </c>
      <c r="I134" s="2" t="s">
        <v>364</v>
      </c>
      <c r="J134" s="3" t="s">
        <v>95</v>
      </c>
      <c r="K134" s="2" t="s">
        <v>353</v>
      </c>
      <c r="L134" s="2"/>
      <c r="M134" s="2" t="s">
        <v>354</v>
      </c>
      <c r="N134" s="2">
        <v>-37740</v>
      </c>
      <c r="P134" s="2" t="s">
        <v>365</v>
      </c>
      <c r="Q134" s="2" t="s">
        <v>366</v>
      </c>
    </row>
    <row r="135" spans="1:17" x14ac:dyDescent="0.2">
      <c r="A135" s="2" t="s">
        <v>346</v>
      </c>
      <c r="B135" s="2" t="s">
        <v>347</v>
      </c>
      <c r="D135" s="2" t="s">
        <v>348</v>
      </c>
      <c r="E135" s="2" t="s">
        <v>349</v>
      </c>
      <c r="F135" s="3">
        <v>46087.371015891207</v>
      </c>
      <c r="G135" s="2" t="s">
        <v>362</v>
      </c>
      <c r="H135" s="2" t="s">
        <v>363</v>
      </c>
      <c r="I135" s="2" t="s">
        <v>364</v>
      </c>
      <c r="J135" s="3" t="s">
        <v>95</v>
      </c>
      <c r="K135" s="2" t="s">
        <v>353</v>
      </c>
      <c r="L135" s="2"/>
      <c r="M135" s="2" t="s">
        <v>354</v>
      </c>
      <c r="N135" s="2">
        <v>-15417</v>
      </c>
      <c r="P135" s="2" t="s">
        <v>365</v>
      </c>
      <c r="Q135" s="2" t="s">
        <v>366</v>
      </c>
    </row>
    <row r="136" spans="1:17" x14ac:dyDescent="0.2">
      <c r="A136" s="2" t="s">
        <v>346</v>
      </c>
      <c r="B136" s="2" t="s">
        <v>347</v>
      </c>
      <c r="D136" s="2" t="s">
        <v>348</v>
      </c>
      <c r="E136" s="2" t="s">
        <v>349</v>
      </c>
      <c r="F136" s="3">
        <v>46087.371027696761</v>
      </c>
      <c r="G136" s="2" t="s">
        <v>362</v>
      </c>
      <c r="H136" s="2" t="s">
        <v>363</v>
      </c>
      <c r="I136" s="2" t="s">
        <v>364</v>
      </c>
      <c r="J136" s="3" t="s">
        <v>95</v>
      </c>
      <c r="K136" s="2" t="s">
        <v>353</v>
      </c>
      <c r="L136" s="2"/>
      <c r="M136" s="2" t="s">
        <v>354</v>
      </c>
      <c r="N136" s="2">
        <v>-42908</v>
      </c>
      <c r="P136" s="2" t="s">
        <v>365</v>
      </c>
      <c r="Q136" s="2" t="s">
        <v>366</v>
      </c>
    </row>
    <row r="137" spans="1:17" x14ac:dyDescent="0.2">
      <c r="A137" s="2" t="s">
        <v>346</v>
      </c>
      <c r="B137" s="2" t="s">
        <v>347</v>
      </c>
      <c r="D137" s="2" t="s">
        <v>348</v>
      </c>
      <c r="E137" s="2" t="s">
        <v>349</v>
      </c>
      <c r="F137" s="3">
        <v>46087.371062650462</v>
      </c>
      <c r="G137" s="2" t="s">
        <v>362</v>
      </c>
      <c r="H137" s="2" t="s">
        <v>363</v>
      </c>
      <c r="I137" s="2" t="s">
        <v>364</v>
      </c>
      <c r="J137" s="3" t="s">
        <v>95</v>
      </c>
      <c r="K137" s="2" t="s">
        <v>353</v>
      </c>
      <c r="L137" s="2"/>
      <c r="M137" s="2" t="s">
        <v>354</v>
      </c>
      <c r="N137" s="2">
        <v>-1114</v>
      </c>
      <c r="P137" s="2" t="s">
        <v>365</v>
      </c>
      <c r="Q137" s="2" t="s">
        <v>366</v>
      </c>
    </row>
    <row r="138" spans="1:17" x14ac:dyDescent="0.2">
      <c r="A138" s="2" t="s">
        <v>346</v>
      </c>
      <c r="B138" s="2" t="s">
        <v>347</v>
      </c>
      <c r="D138" s="2" t="s">
        <v>348</v>
      </c>
      <c r="E138" s="2" t="s">
        <v>349</v>
      </c>
      <c r="F138" s="3">
        <v>46087.371167349535</v>
      </c>
      <c r="G138" s="2" t="s">
        <v>362</v>
      </c>
      <c r="H138" s="2" t="s">
        <v>363</v>
      </c>
      <c r="I138" s="2" t="s">
        <v>364</v>
      </c>
      <c r="J138" s="3" t="s">
        <v>95</v>
      </c>
      <c r="K138" s="2" t="s">
        <v>353</v>
      </c>
      <c r="L138" s="2"/>
      <c r="M138" s="2" t="s">
        <v>354</v>
      </c>
      <c r="N138" s="2">
        <v>43856</v>
      </c>
      <c r="P138" s="2" t="s">
        <v>365</v>
      </c>
      <c r="Q138" s="2" t="s">
        <v>366</v>
      </c>
    </row>
    <row r="139" spans="1:17" x14ac:dyDescent="0.2">
      <c r="A139" s="2" t="s">
        <v>346</v>
      </c>
      <c r="B139" s="2" t="s">
        <v>347</v>
      </c>
      <c r="D139" s="2" t="s">
        <v>348</v>
      </c>
      <c r="E139" s="2" t="s">
        <v>349</v>
      </c>
      <c r="F139" s="3">
        <v>46087.37129534722</v>
      </c>
      <c r="G139" s="2" t="s">
        <v>362</v>
      </c>
      <c r="H139" s="2" t="s">
        <v>363</v>
      </c>
      <c r="I139" s="2" t="s">
        <v>364</v>
      </c>
      <c r="J139" s="3" t="s">
        <v>95</v>
      </c>
      <c r="K139" s="2" t="s">
        <v>353</v>
      </c>
      <c r="L139" s="2"/>
      <c r="M139" s="2" t="s">
        <v>354</v>
      </c>
      <c r="N139" s="2">
        <v>-11607</v>
      </c>
      <c r="P139" s="2" t="s">
        <v>365</v>
      </c>
      <c r="Q139" s="2" t="s">
        <v>366</v>
      </c>
    </row>
    <row r="140" spans="1:17" x14ac:dyDescent="0.2">
      <c r="A140" s="2" t="s">
        <v>346</v>
      </c>
      <c r="B140" s="2" t="s">
        <v>347</v>
      </c>
      <c r="D140" s="2" t="s">
        <v>348</v>
      </c>
      <c r="E140" s="2" t="s">
        <v>349</v>
      </c>
      <c r="F140" s="3">
        <v>46087.371458287038</v>
      </c>
      <c r="G140" s="2" t="s">
        <v>362</v>
      </c>
      <c r="H140" s="2" t="s">
        <v>363</v>
      </c>
      <c r="I140" s="2" t="s">
        <v>364</v>
      </c>
      <c r="J140" s="3" t="s">
        <v>95</v>
      </c>
      <c r="K140" s="2" t="s">
        <v>353</v>
      </c>
      <c r="L140" s="2"/>
      <c r="M140" s="2" t="s">
        <v>354</v>
      </c>
      <c r="N140" s="2">
        <v>-32394</v>
      </c>
      <c r="P140" s="2" t="s">
        <v>365</v>
      </c>
      <c r="Q140" s="2" t="s">
        <v>366</v>
      </c>
    </row>
    <row r="141" spans="1:17" x14ac:dyDescent="0.2">
      <c r="A141" s="2" t="s">
        <v>346</v>
      </c>
      <c r="B141" s="2" t="s">
        <v>347</v>
      </c>
      <c r="D141" s="2" t="s">
        <v>348</v>
      </c>
      <c r="E141" s="2" t="s">
        <v>349</v>
      </c>
      <c r="F141" s="3">
        <v>46087.371563043984</v>
      </c>
      <c r="G141" s="2" t="s">
        <v>362</v>
      </c>
      <c r="H141" s="2" t="s">
        <v>363</v>
      </c>
      <c r="I141" s="2" t="s">
        <v>364</v>
      </c>
      <c r="J141" s="3" t="s">
        <v>95</v>
      </c>
      <c r="K141" s="2" t="s">
        <v>353</v>
      </c>
      <c r="L141" s="2"/>
      <c r="M141" s="2" t="s">
        <v>354</v>
      </c>
      <c r="N141" s="2">
        <v>3890</v>
      </c>
      <c r="P141" s="2" t="s">
        <v>365</v>
      </c>
      <c r="Q141" s="2" t="s">
        <v>366</v>
      </c>
    </row>
    <row r="142" spans="1:17" x14ac:dyDescent="0.2">
      <c r="A142" s="2" t="s">
        <v>346</v>
      </c>
      <c r="B142" s="2" t="s">
        <v>347</v>
      </c>
      <c r="D142" s="2" t="s">
        <v>348</v>
      </c>
      <c r="E142" s="2" t="s">
        <v>349</v>
      </c>
      <c r="F142" s="3">
        <v>46087.371714363428</v>
      </c>
      <c r="G142" s="2" t="s">
        <v>362</v>
      </c>
      <c r="H142" s="2" t="s">
        <v>363</v>
      </c>
      <c r="I142" s="2" t="s">
        <v>364</v>
      </c>
      <c r="J142" s="3" t="s">
        <v>95</v>
      </c>
      <c r="K142" s="2" t="s">
        <v>353</v>
      </c>
      <c r="L142" s="2"/>
      <c r="M142" s="2" t="s">
        <v>354</v>
      </c>
      <c r="N142" s="2">
        <v>-26120</v>
      </c>
      <c r="P142" s="2" t="s">
        <v>365</v>
      </c>
      <c r="Q142" s="2" t="s">
        <v>366</v>
      </c>
    </row>
    <row r="143" spans="1:17" x14ac:dyDescent="0.2">
      <c r="A143" s="2" t="s">
        <v>346</v>
      </c>
      <c r="B143" s="2" t="s">
        <v>347</v>
      </c>
      <c r="D143" s="2" t="s">
        <v>348</v>
      </c>
      <c r="E143" s="2" t="s">
        <v>349</v>
      </c>
      <c r="F143" s="3">
        <v>46087.372306585647</v>
      </c>
      <c r="G143" s="2" t="s">
        <v>362</v>
      </c>
      <c r="H143" s="2" t="s">
        <v>363</v>
      </c>
      <c r="I143" s="2" t="s">
        <v>364</v>
      </c>
      <c r="J143" s="3" t="s">
        <v>95</v>
      </c>
      <c r="K143" s="2" t="s">
        <v>353</v>
      </c>
      <c r="L143" s="2"/>
      <c r="M143" s="2" t="s">
        <v>354</v>
      </c>
      <c r="N143" s="2">
        <v>34451</v>
      </c>
      <c r="P143" s="2" t="s">
        <v>365</v>
      </c>
      <c r="Q143" s="2" t="s">
        <v>366</v>
      </c>
    </row>
    <row r="144" spans="1:17" x14ac:dyDescent="0.2">
      <c r="A144" s="2" t="s">
        <v>346</v>
      </c>
      <c r="B144" s="2" t="s">
        <v>347</v>
      </c>
      <c r="D144" s="2" t="s">
        <v>348</v>
      </c>
      <c r="E144" s="2" t="s">
        <v>349</v>
      </c>
      <c r="F144" s="3">
        <v>46087.372399409724</v>
      </c>
      <c r="G144" s="2" t="s">
        <v>362</v>
      </c>
      <c r="H144" s="2" t="s">
        <v>363</v>
      </c>
      <c r="I144" s="2" t="s">
        <v>364</v>
      </c>
      <c r="J144" s="3" t="s">
        <v>95</v>
      </c>
      <c r="K144" s="2" t="s">
        <v>353</v>
      </c>
      <c r="L144" s="2"/>
      <c r="M144" s="2" t="s">
        <v>354</v>
      </c>
      <c r="N144" s="2">
        <v>-4243</v>
      </c>
      <c r="P144" s="2" t="s">
        <v>365</v>
      </c>
      <c r="Q144" s="2" t="s">
        <v>366</v>
      </c>
    </row>
    <row r="145" spans="1:17" x14ac:dyDescent="0.2">
      <c r="A145" s="2" t="s">
        <v>346</v>
      </c>
      <c r="B145" s="2" t="s">
        <v>347</v>
      </c>
      <c r="D145" s="2" t="s">
        <v>348</v>
      </c>
      <c r="E145" s="2" t="s">
        <v>349</v>
      </c>
      <c r="F145" s="3">
        <v>46087.372434444442</v>
      </c>
      <c r="G145" s="2" t="s">
        <v>362</v>
      </c>
      <c r="H145" s="2" t="s">
        <v>363</v>
      </c>
      <c r="I145" s="2" t="s">
        <v>364</v>
      </c>
      <c r="J145" s="3" t="s">
        <v>95</v>
      </c>
      <c r="K145" s="2" t="s">
        <v>353</v>
      </c>
      <c r="L145" s="2"/>
      <c r="M145" s="2" t="s">
        <v>354</v>
      </c>
      <c r="N145" s="2">
        <v>29422</v>
      </c>
      <c r="P145" s="2" t="s">
        <v>365</v>
      </c>
      <c r="Q145" s="2" t="s">
        <v>366</v>
      </c>
    </row>
    <row r="146" spans="1:17" x14ac:dyDescent="0.2">
      <c r="A146" s="2" t="s">
        <v>346</v>
      </c>
      <c r="B146" s="2" t="s">
        <v>347</v>
      </c>
      <c r="D146" s="2" t="s">
        <v>348</v>
      </c>
      <c r="E146" s="2" t="s">
        <v>349</v>
      </c>
      <c r="F146" s="3">
        <v>46087.372480879632</v>
      </c>
      <c r="G146" s="2" t="s">
        <v>362</v>
      </c>
      <c r="H146" s="2" t="s">
        <v>363</v>
      </c>
      <c r="I146" s="2" t="s">
        <v>364</v>
      </c>
      <c r="J146" s="3" t="s">
        <v>95</v>
      </c>
      <c r="K146" s="2" t="s">
        <v>353</v>
      </c>
      <c r="L146" s="2"/>
      <c r="M146" s="2" t="s">
        <v>354</v>
      </c>
      <c r="N146" s="2">
        <v>-6570</v>
      </c>
      <c r="P146" s="2" t="s">
        <v>365</v>
      </c>
      <c r="Q146" s="2" t="s">
        <v>366</v>
      </c>
    </row>
    <row r="147" spans="1:17" x14ac:dyDescent="0.2">
      <c r="A147" s="2" t="s">
        <v>346</v>
      </c>
      <c r="B147" s="2" t="s">
        <v>347</v>
      </c>
      <c r="D147" s="2" t="s">
        <v>348</v>
      </c>
      <c r="E147" s="2" t="s">
        <v>349</v>
      </c>
      <c r="F147" s="3">
        <v>46087.372631921295</v>
      </c>
      <c r="G147" s="2" t="s">
        <v>362</v>
      </c>
      <c r="H147" s="2" t="s">
        <v>363</v>
      </c>
      <c r="I147" s="2" t="s">
        <v>364</v>
      </c>
      <c r="J147" s="3" t="s">
        <v>95</v>
      </c>
      <c r="K147" s="2" t="s">
        <v>353</v>
      </c>
      <c r="L147" s="2"/>
      <c r="M147" s="2" t="s">
        <v>354</v>
      </c>
      <c r="N147" s="2">
        <v>31668</v>
      </c>
      <c r="P147" s="2" t="s">
        <v>365</v>
      </c>
      <c r="Q147" s="2" t="s">
        <v>366</v>
      </c>
    </row>
    <row r="148" spans="1:17" x14ac:dyDescent="0.2">
      <c r="A148" s="2" t="s">
        <v>346</v>
      </c>
      <c r="B148" s="2" t="s">
        <v>347</v>
      </c>
      <c r="D148" s="2" t="s">
        <v>348</v>
      </c>
      <c r="E148" s="2" t="s">
        <v>349</v>
      </c>
      <c r="F148" s="3">
        <v>46087.372841076387</v>
      </c>
      <c r="G148" s="2" t="s">
        <v>362</v>
      </c>
      <c r="H148" s="2" t="s">
        <v>363</v>
      </c>
      <c r="I148" s="2" t="s">
        <v>364</v>
      </c>
      <c r="J148" s="3" t="s">
        <v>95</v>
      </c>
      <c r="K148" s="2" t="s">
        <v>353</v>
      </c>
      <c r="L148" s="2"/>
      <c r="M148" s="2" t="s">
        <v>354</v>
      </c>
      <c r="N148" s="2">
        <v>-18952</v>
      </c>
      <c r="P148" s="2" t="s">
        <v>365</v>
      </c>
      <c r="Q148" s="2" t="s">
        <v>366</v>
      </c>
    </row>
    <row r="149" spans="1:17" x14ac:dyDescent="0.2">
      <c r="A149" s="2" t="s">
        <v>346</v>
      </c>
      <c r="B149" s="2" t="s">
        <v>347</v>
      </c>
      <c r="D149" s="2" t="s">
        <v>348</v>
      </c>
      <c r="E149" s="2" t="s">
        <v>349</v>
      </c>
      <c r="F149" s="3">
        <v>46087.37300378472</v>
      </c>
      <c r="G149" s="2" t="s">
        <v>362</v>
      </c>
      <c r="H149" s="2" t="s">
        <v>363</v>
      </c>
      <c r="I149" s="2" t="s">
        <v>364</v>
      </c>
      <c r="J149" s="3" t="s">
        <v>95</v>
      </c>
      <c r="K149" s="2" t="s">
        <v>353</v>
      </c>
      <c r="L149" s="2"/>
      <c r="M149" s="2" t="s">
        <v>354</v>
      </c>
      <c r="N149" s="2">
        <v>32169</v>
      </c>
      <c r="P149" s="2" t="s">
        <v>365</v>
      </c>
      <c r="Q149" s="2" t="s">
        <v>366</v>
      </c>
    </row>
    <row r="150" spans="1:17" x14ac:dyDescent="0.2">
      <c r="A150" s="2" t="s">
        <v>346</v>
      </c>
      <c r="B150" s="2" t="s">
        <v>347</v>
      </c>
      <c r="D150" s="2" t="s">
        <v>348</v>
      </c>
      <c r="E150" s="2" t="s">
        <v>349</v>
      </c>
      <c r="F150" s="3">
        <v>46087.373085254629</v>
      </c>
      <c r="G150" s="2" t="s">
        <v>362</v>
      </c>
      <c r="H150" s="2" t="s">
        <v>363</v>
      </c>
      <c r="I150" s="2" t="s">
        <v>364</v>
      </c>
      <c r="J150" s="3" t="s">
        <v>95</v>
      </c>
      <c r="K150" s="2" t="s">
        <v>353</v>
      </c>
      <c r="L150" s="2"/>
      <c r="M150" s="2" t="s">
        <v>354</v>
      </c>
      <c r="N150" s="2">
        <v>-11239</v>
      </c>
      <c r="P150" s="2" t="s">
        <v>365</v>
      </c>
      <c r="Q150" s="2" t="s">
        <v>366</v>
      </c>
    </row>
    <row r="151" spans="1:17" x14ac:dyDescent="0.2">
      <c r="A151" s="2" t="s">
        <v>346</v>
      </c>
      <c r="B151" s="2" t="s">
        <v>347</v>
      </c>
      <c r="D151" s="2" t="s">
        <v>348</v>
      </c>
      <c r="E151" s="2" t="s">
        <v>349</v>
      </c>
      <c r="F151" s="3">
        <v>46087.373120115742</v>
      </c>
      <c r="G151" s="2" t="s">
        <v>362</v>
      </c>
      <c r="H151" s="2" t="s">
        <v>363</v>
      </c>
      <c r="I151" s="2" t="s">
        <v>364</v>
      </c>
      <c r="J151" s="3" t="s">
        <v>95</v>
      </c>
      <c r="K151" s="2" t="s">
        <v>353</v>
      </c>
      <c r="L151" s="2"/>
      <c r="M151" s="2" t="s">
        <v>354</v>
      </c>
      <c r="N151" s="2">
        <v>25915</v>
      </c>
      <c r="P151" s="2" t="s">
        <v>365</v>
      </c>
      <c r="Q151" s="2" t="s">
        <v>366</v>
      </c>
    </row>
    <row r="152" spans="1:17" x14ac:dyDescent="0.2">
      <c r="A152" s="2" t="s">
        <v>346</v>
      </c>
      <c r="B152" s="2" t="s">
        <v>347</v>
      </c>
      <c r="D152" s="2" t="s">
        <v>348</v>
      </c>
      <c r="E152" s="2" t="s">
        <v>349</v>
      </c>
      <c r="F152" s="3">
        <v>46087.373178298614</v>
      </c>
      <c r="G152" s="2" t="s">
        <v>362</v>
      </c>
      <c r="H152" s="2" t="s">
        <v>363</v>
      </c>
      <c r="I152" s="2" t="s">
        <v>364</v>
      </c>
      <c r="J152" s="3" t="s">
        <v>95</v>
      </c>
      <c r="K152" s="2" t="s">
        <v>353</v>
      </c>
      <c r="L152" s="2"/>
      <c r="M152" s="2" t="s">
        <v>354</v>
      </c>
      <c r="N152" s="2">
        <v>-11830</v>
      </c>
      <c r="P152" s="2" t="s">
        <v>365</v>
      </c>
      <c r="Q152" s="2" t="s">
        <v>366</v>
      </c>
    </row>
    <row r="153" spans="1:17" x14ac:dyDescent="0.2">
      <c r="A153" s="2" t="s">
        <v>346</v>
      </c>
      <c r="B153" s="2" t="s">
        <v>347</v>
      </c>
      <c r="D153" s="2" t="s">
        <v>348</v>
      </c>
      <c r="E153" s="2" t="s">
        <v>349</v>
      </c>
      <c r="F153" s="3">
        <v>46087.373294502315</v>
      </c>
      <c r="G153" s="2" t="s">
        <v>362</v>
      </c>
      <c r="H153" s="2" t="s">
        <v>363</v>
      </c>
      <c r="I153" s="2" t="s">
        <v>364</v>
      </c>
      <c r="J153" s="3" t="s">
        <v>95</v>
      </c>
      <c r="K153" s="2" t="s">
        <v>353</v>
      </c>
      <c r="L153" s="2"/>
      <c r="M153" s="2" t="s">
        <v>354</v>
      </c>
      <c r="N153" s="2">
        <v>32488</v>
      </c>
      <c r="P153" s="2" t="s">
        <v>365</v>
      </c>
      <c r="Q153" s="2" t="s">
        <v>366</v>
      </c>
    </row>
    <row r="154" spans="1:17" x14ac:dyDescent="0.2">
      <c r="A154" s="2" t="s">
        <v>346</v>
      </c>
      <c r="B154" s="2" t="s">
        <v>347</v>
      </c>
      <c r="D154" s="2" t="s">
        <v>348</v>
      </c>
      <c r="E154" s="2" t="s">
        <v>349</v>
      </c>
      <c r="F154" s="3">
        <v>46087.373306157409</v>
      </c>
      <c r="G154" s="2" t="s">
        <v>362</v>
      </c>
      <c r="H154" s="2" t="s">
        <v>363</v>
      </c>
      <c r="I154" s="2" t="s">
        <v>364</v>
      </c>
      <c r="J154" s="3" t="s">
        <v>95</v>
      </c>
      <c r="K154" s="2" t="s">
        <v>353</v>
      </c>
      <c r="L154" s="2"/>
      <c r="M154" s="2" t="s">
        <v>354</v>
      </c>
      <c r="N154" s="2">
        <v>-13956</v>
      </c>
      <c r="P154" s="2" t="s">
        <v>365</v>
      </c>
      <c r="Q154" s="2" t="s">
        <v>366</v>
      </c>
    </row>
    <row r="155" spans="1:17" x14ac:dyDescent="0.2">
      <c r="A155" s="2" t="s">
        <v>346</v>
      </c>
      <c r="B155" s="2" t="s">
        <v>347</v>
      </c>
      <c r="D155" s="2" t="s">
        <v>348</v>
      </c>
      <c r="E155" s="2" t="s">
        <v>349</v>
      </c>
      <c r="F155" s="3">
        <v>46087.373515173611</v>
      </c>
      <c r="G155" s="2" t="s">
        <v>362</v>
      </c>
      <c r="H155" s="2" t="s">
        <v>363</v>
      </c>
      <c r="I155" s="2" t="s">
        <v>364</v>
      </c>
      <c r="J155" s="3" t="s">
        <v>95</v>
      </c>
      <c r="K155" s="2" t="s">
        <v>353</v>
      </c>
      <c r="L155" s="2"/>
      <c r="M155" s="2" t="s">
        <v>354</v>
      </c>
      <c r="N155" s="2">
        <v>8107</v>
      </c>
      <c r="P155" s="2" t="s">
        <v>365</v>
      </c>
      <c r="Q155" s="2" t="s">
        <v>366</v>
      </c>
    </row>
    <row r="156" spans="1:17" x14ac:dyDescent="0.2">
      <c r="A156" s="2" t="s">
        <v>346</v>
      </c>
      <c r="B156" s="2" t="s">
        <v>347</v>
      </c>
      <c r="D156" s="2" t="s">
        <v>348</v>
      </c>
      <c r="E156" s="2" t="s">
        <v>349</v>
      </c>
      <c r="F156" s="3">
        <v>46087.373596458332</v>
      </c>
      <c r="G156" s="2" t="s">
        <v>362</v>
      </c>
      <c r="H156" s="2" t="s">
        <v>363</v>
      </c>
      <c r="I156" s="2" t="s">
        <v>364</v>
      </c>
      <c r="J156" s="3" t="s">
        <v>95</v>
      </c>
      <c r="K156" s="2" t="s">
        <v>353</v>
      </c>
      <c r="L156" s="2"/>
      <c r="M156" s="2" t="s">
        <v>354</v>
      </c>
      <c r="N156" s="2">
        <v>-43699</v>
      </c>
      <c r="P156" s="2" t="s">
        <v>365</v>
      </c>
      <c r="Q156" s="2" t="s">
        <v>366</v>
      </c>
    </row>
    <row r="157" spans="1:17" x14ac:dyDescent="0.2">
      <c r="A157" s="2" t="s">
        <v>346</v>
      </c>
      <c r="B157" s="2" t="s">
        <v>347</v>
      </c>
      <c r="D157" s="2" t="s">
        <v>348</v>
      </c>
      <c r="E157" s="2" t="s">
        <v>349</v>
      </c>
      <c r="F157" s="3">
        <v>46087.373735983798</v>
      </c>
      <c r="G157" s="2" t="s">
        <v>362</v>
      </c>
      <c r="H157" s="2" t="s">
        <v>363</v>
      </c>
      <c r="I157" s="2" t="s">
        <v>364</v>
      </c>
      <c r="J157" s="3" t="s">
        <v>95</v>
      </c>
      <c r="K157" s="2" t="s">
        <v>353</v>
      </c>
      <c r="L157" s="2"/>
      <c r="M157" s="2" t="s">
        <v>354</v>
      </c>
      <c r="N157" s="2">
        <v>30686</v>
      </c>
      <c r="P157" s="2" t="s">
        <v>365</v>
      </c>
      <c r="Q157" s="2" t="s">
        <v>366</v>
      </c>
    </row>
    <row r="158" spans="1:17" x14ac:dyDescent="0.2">
      <c r="A158" s="2" t="s">
        <v>346</v>
      </c>
      <c r="B158" s="2" t="s">
        <v>347</v>
      </c>
      <c r="D158" s="2" t="s">
        <v>348</v>
      </c>
      <c r="E158" s="2" t="s">
        <v>349</v>
      </c>
      <c r="F158" s="3">
        <v>46087.373770937498</v>
      </c>
      <c r="G158" s="2" t="s">
        <v>362</v>
      </c>
      <c r="H158" s="2" t="s">
        <v>363</v>
      </c>
      <c r="I158" s="2" t="s">
        <v>364</v>
      </c>
      <c r="J158" s="3" t="s">
        <v>95</v>
      </c>
      <c r="K158" s="2" t="s">
        <v>353</v>
      </c>
      <c r="L158" s="2"/>
      <c r="M158" s="2" t="s">
        <v>354</v>
      </c>
      <c r="N158" s="2">
        <v>-24723</v>
      </c>
      <c r="P158" s="2" t="s">
        <v>365</v>
      </c>
      <c r="Q158" s="2" t="s">
        <v>366</v>
      </c>
    </row>
    <row r="159" spans="1:17" x14ac:dyDescent="0.2">
      <c r="A159" s="2" t="s">
        <v>346</v>
      </c>
      <c r="B159" s="2" t="s">
        <v>347</v>
      </c>
      <c r="D159" s="2" t="s">
        <v>348</v>
      </c>
      <c r="E159" s="2" t="s">
        <v>349</v>
      </c>
      <c r="F159" s="3">
        <v>46087.373829386575</v>
      </c>
      <c r="G159" s="2" t="s">
        <v>362</v>
      </c>
      <c r="H159" s="2" t="s">
        <v>363</v>
      </c>
      <c r="I159" s="2" t="s">
        <v>364</v>
      </c>
      <c r="J159" s="3" t="s">
        <v>95</v>
      </c>
      <c r="K159" s="2" t="s">
        <v>353</v>
      </c>
      <c r="L159" s="2"/>
      <c r="M159" s="2" t="s">
        <v>354</v>
      </c>
      <c r="N159" s="2">
        <v>20240</v>
      </c>
      <c r="P159" s="2" t="s">
        <v>365</v>
      </c>
      <c r="Q159" s="2" t="s">
        <v>366</v>
      </c>
    </row>
    <row r="160" spans="1:17" x14ac:dyDescent="0.2">
      <c r="A160" s="2" t="s">
        <v>346</v>
      </c>
      <c r="B160" s="2" t="s">
        <v>347</v>
      </c>
      <c r="D160" s="2" t="s">
        <v>348</v>
      </c>
      <c r="E160" s="2" t="s">
        <v>349</v>
      </c>
      <c r="F160" s="3">
        <v>46087.374038634262</v>
      </c>
      <c r="G160" s="2" t="s">
        <v>362</v>
      </c>
      <c r="H160" s="2" t="s">
        <v>363</v>
      </c>
      <c r="I160" s="2" t="s">
        <v>364</v>
      </c>
      <c r="J160" s="3" t="s">
        <v>95</v>
      </c>
      <c r="K160" s="2" t="s">
        <v>353</v>
      </c>
      <c r="L160" s="2"/>
      <c r="M160" s="2" t="s">
        <v>354</v>
      </c>
      <c r="N160" s="2">
        <v>34350</v>
      </c>
      <c r="P160" s="2" t="s">
        <v>365</v>
      </c>
      <c r="Q160" s="2" t="s">
        <v>366</v>
      </c>
    </row>
    <row r="161" spans="1:17" x14ac:dyDescent="0.2">
      <c r="A161" s="2" t="s">
        <v>346</v>
      </c>
      <c r="B161" s="2" t="s">
        <v>347</v>
      </c>
      <c r="D161" s="2" t="s">
        <v>348</v>
      </c>
      <c r="E161" s="2" t="s">
        <v>349</v>
      </c>
      <c r="F161" s="3">
        <v>46087.374073483799</v>
      </c>
      <c r="G161" s="2" t="s">
        <v>362</v>
      </c>
      <c r="H161" s="2" t="s">
        <v>363</v>
      </c>
      <c r="I161" s="2" t="s">
        <v>364</v>
      </c>
      <c r="J161" s="3" t="s">
        <v>95</v>
      </c>
      <c r="K161" s="2" t="s">
        <v>353</v>
      </c>
      <c r="L161" s="2"/>
      <c r="M161" s="2" t="s">
        <v>354</v>
      </c>
      <c r="N161" s="2">
        <v>-11056</v>
      </c>
      <c r="P161" s="2" t="s">
        <v>365</v>
      </c>
      <c r="Q161" s="2" t="s">
        <v>366</v>
      </c>
    </row>
    <row r="162" spans="1:17" x14ac:dyDescent="0.2">
      <c r="A162" s="2" t="s">
        <v>346</v>
      </c>
      <c r="B162" s="2" t="s">
        <v>347</v>
      </c>
      <c r="D162" s="2" t="s">
        <v>348</v>
      </c>
      <c r="E162" s="2" t="s">
        <v>349</v>
      </c>
      <c r="F162" s="3">
        <v>46087.374214594907</v>
      </c>
      <c r="G162" s="2" t="s">
        <v>350</v>
      </c>
      <c r="H162" s="2" t="s">
        <v>351</v>
      </c>
      <c r="I162" s="2" t="s">
        <v>352</v>
      </c>
      <c r="J162" s="3" t="s">
        <v>95</v>
      </c>
      <c r="K162" s="2" t="s">
        <v>353</v>
      </c>
      <c r="L162" s="2"/>
      <c r="M162" s="2" t="s">
        <v>354</v>
      </c>
      <c r="N162" s="2">
        <v>72.075000000000003</v>
      </c>
      <c r="P162" s="2" t="s">
        <v>355</v>
      </c>
      <c r="Q162" s="2" t="s">
        <v>356</v>
      </c>
    </row>
    <row r="163" spans="1:17" x14ac:dyDescent="0.2">
      <c r="A163" s="2" t="s">
        <v>346</v>
      </c>
      <c r="B163" s="2" t="s">
        <v>347</v>
      </c>
      <c r="D163" s="2" t="s">
        <v>348</v>
      </c>
      <c r="E163" s="2" t="s">
        <v>349</v>
      </c>
      <c r="F163" s="3">
        <v>46087.374259710647</v>
      </c>
      <c r="G163" s="2" t="s">
        <v>362</v>
      </c>
      <c r="H163" s="2" t="s">
        <v>363</v>
      </c>
      <c r="I163" s="2" t="s">
        <v>364</v>
      </c>
      <c r="J163" s="3" t="s">
        <v>95</v>
      </c>
      <c r="K163" s="2" t="s">
        <v>353</v>
      </c>
      <c r="L163" s="2"/>
      <c r="M163" s="2" t="s">
        <v>354</v>
      </c>
      <c r="N163" s="2">
        <v>-9409</v>
      </c>
      <c r="P163" s="2" t="s">
        <v>365</v>
      </c>
      <c r="Q163" s="2" t="s">
        <v>366</v>
      </c>
    </row>
    <row r="164" spans="1:17" x14ac:dyDescent="0.2">
      <c r="A164" s="2" t="s">
        <v>346</v>
      </c>
      <c r="B164" s="2" t="s">
        <v>347</v>
      </c>
      <c r="D164" s="2" t="s">
        <v>348</v>
      </c>
      <c r="E164" s="2" t="s">
        <v>349</v>
      </c>
      <c r="F164" s="3">
        <v>46087.374317534719</v>
      </c>
      <c r="G164" s="2" t="s">
        <v>362</v>
      </c>
      <c r="H164" s="2" t="s">
        <v>363</v>
      </c>
      <c r="I164" s="2" t="s">
        <v>364</v>
      </c>
      <c r="J164" s="3" t="s">
        <v>95</v>
      </c>
      <c r="K164" s="2" t="s">
        <v>353</v>
      </c>
      <c r="L164" s="2"/>
      <c r="M164" s="2" t="s">
        <v>354</v>
      </c>
      <c r="N164" s="2">
        <v>23456</v>
      </c>
      <c r="P164" s="2" t="s">
        <v>365</v>
      </c>
      <c r="Q164" s="2" t="s">
        <v>366</v>
      </c>
    </row>
    <row r="165" spans="1:17" x14ac:dyDescent="0.2">
      <c r="A165" s="2" t="s">
        <v>346</v>
      </c>
      <c r="B165" s="2" t="s">
        <v>347</v>
      </c>
      <c r="D165" s="2" t="s">
        <v>348</v>
      </c>
      <c r="E165" s="2" t="s">
        <v>349</v>
      </c>
      <c r="F165" s="3">
        <v>46087.374340868053</v>
      </c>
      <c r="G165" s="2" t="s">
        <v>362</v>
      </c>
      <c r="H165" s="2" t="s">
        <v>363</v>
      </c>
      <c r="I165" s="2" t="s">
        <v>364</v>
      </c>
      <c r="J165" s="3" t="s">
        <v>95</v>
      </c>
      <c r="K165" s="2" t="s">
        <v>353</v>
      </c>
      <c r="L165" s="2"/>
      <c r="M165" s="2" t="s">
        <v>354</v>
      </c>
      <c r="N165" s="2">
        <v>-16949</v>
      </c>
      <c r="P165" s="2" t="s">
        <v>365</v>
      </c>
      <c r="Q165" s="2" t="s">
        <v>366</v>
      </c>
    </row>
    <row r="166" spans="1:17" x14ac:dyDescent="0.2">
      <c r="A166" s="2" t="s">
        <v>346</v>
      </c>
      <c r="B166" s="2" t="s">
        <v>347</v>
      </c>
      <c r="D166" s="2" t="s">
        <v>348</v>
      </c>
      <c r="E166" s="2" t="s">
        <v>349</v>
      </c>
      <c r="F166" s="3">
        <v>46087.374574467591</v>
      </c>
      <c r="G166" s="2" t="s">
        <v>362</v>
      </c>
      <c r="H166" s="2" t="s">
        <v>363</v>
      </c>
      <c r="I166" s="2" t="s">
        <v>364</v>
      </c>
      <c r="J166" s="3" t="s">
        <v>95</v>
      </c>
      <c r="K166" s="2" t="s">
        <v>353</v>
      </c>
      <c r="L166" s="2"/>
      <c r="M166" s="2" t="s">
        <v>354</v>
      </c>
      <c r="N166" s="2">
        <v>42580</v>
      </c>
      <c r="P166" s="2" t="s">
        <v>365</v>
      </c>
      <c r="Q166" s="2" t="s">
        <v>366</v>
      </c>
    </row>
    <row r="167" spans="1:17" x14ac:dyDescent="0.2">
      <c r="A167" s="2" t="s">
        <v>346</v>
      </c>
      <c r="B167" s="2" t="s">
        <v>347</v>
      </c>
      <c r="D167" s="2" t="s">
        <v>348</v>
      </c>
      <c r="E167" s="2" t="s">
        <v>349</v>
      </c>
      <c r="F167" s="3">
        <v>46087.374679270833</v>
      </c>
      <c r="G167" s="2" t="s">
        <v>362</v>
      </c>
      <c r="H167" s="2" t="s">
        <v>363</v>
      </c>
      <c r="I167" s="2" t="s">
        <v>364</v>
      </c>
      <c r="J167" s="3" t="s">
        <v>95</v>
      </c>
      <c r="K167" s="2" t="s">
        <v>353</v>
      </c>
      <c r="L167" s="2"/>
      <c r="M167" s="2" t="s">
        <v>354</v>
      </c>
      <c r="N167" s="2">
        <v>-18558</v>
      </c>
      <c r="P167" s="2" t="s">
        <v>365</v>
      </c>
      <c r="Q167" s="2" t="s">
        <v>366</v>
      </c>
    </row>
    <row r="168" spans="1:17" x14ac:dyDescent="0.2">
      <c r="A168" s="2" t="s">
        <v>346</v>
      </c>
      <c r="B168" s="2" t="s">
        <v>347</v>
      </c>
      <c r="D168" s="2" t="s">
        <v>348</v>
      </c>
      <c r="E168" s="2" t="s">
        <v>349</v>
      </c>
      <c r="F168" s="3">
        <v>46087.37479574074</v>
      </c>
      <c r="G168" s="2" t="s">
        <v>362</v>
      </c>
      <c r="H168" s="2" t="s">
        <v>363</v>
      </c>
      <c r="I168" s="2" t="s">
        <v>364</v>
      </c>
      <c r="J168" s="3" t="s">
        <v>95</v>
      </c>
      <c r="K168" s="2" t="s">
        <v>353</v>
      </c>
      <c r="L168" s="2"/>
      <c r="M168" s="2" t="s">
        <v>354</v>
      </c>
      <c r="N168" s="2">
        <v>27080</v>
      </c>
      <c r="P168" s="2" t="s">
        <v>365</v>
      </c>
      <c r="Q168" s="2" t="s">
        <v>366</v>
      </c>
    </row>
    <row r="169" spans="1:17" x14ac:dyDescent="0.2">
      <c r="A169" s="2" t="s">
        <v>346</v>
      </c>
      <c r="B169" s="2" t="s">
        <v>347</v>
      </c>
      <c r="D169" s="2" t="s">
        <v>348</v>
      </c>
      <c r="E169" s="2" t="s">
        <v>349</v>
      </c>
      <c r="F169" s="3">
        <v>46087.374935347223</v>
      </c>
      <c r="G169" s="2" t="s">
        <v>362</v>
      </c>
      <c r="H169" s="2" t="s">
        <v>363</v>
      </c>
      <c r="I169" s="2" t="s">
        <v>364</v>
      </c>
      <c r="J169" s="3" t="s">
        <v>95</v>
      </c>
      <c r="K169" s="2" t="s">
        <v>353</v>
      </c>
      <c r="L169" s="2"/>
      <c r="M169" s="2" t="s">
        <v>354</v>
      </c>
      <c r="N169" s="2">
        <v>32535</v>
      </c>
      <c r="P169" s="2" t="s">
        <v>365</v>
      </c>
      <c r="Q169" s="2" t="s">
        <v>366</v>
      </c>
    </row>
    <row r="170" spans="1:17" x14ac:dyDescent="0.2">
      <c r="A170" s="2" t="s">
        <v>346</v>
      </c>
      <c r="B170" s="2" t="s">
        <v>347</v>
      </c>
      <c r="D170" s="2" t="s">
        <v>348</v>
      </c>
      <c r="E170" s="2" t="s">
        <v>349</v>
      </c>
      <c r="F170" s="3">
        <v>46087.374981782406</v>
      </c>
      <c r="G170" s="2" t="s">
        <v>362</v>
      </c>
      <c r="H170" s="2" t="s">
        <v>363</v>
      </c>
      <c r="I170" s="2" t="s">
        <v>364</v>
      </c>
      <c r="J170" s="3" t="s">
        <v>95</v>
      </c>
      <c r="K170" s="2" t="s">
        <v>353</v>
      </c>
      <c r="L170" s="2"/>
      <c r="M170" s="2" t="s">
        <v>354</v>
      </c>
      <c r="N170" s="2">
        <v>-11781</v>
      </c>
      <c r="P170" s="2" t="s">
        <v>365</v>
      </c>
      <c r="Q170" s="2" t="s">
        <v>366</v>
      </c>
    </row>
    <row r="171" spans="1:17" x14ac:dyDescent="0.2">
      <c r="A171" s="2" t="s">
        <v>346</v>
      </c>
      <c r="B171" s="2" t="s">
        <v>347</v>
      </c>
      <c r="D171" s="2" t="s">
        <v>348</v>
      </c>
      <c r="E171" s="2" t="s">
        <v>349</v>
      </c>
      <c r="F171" s="3">
        <v>46087.375132743058</v>
      </c>
      <c r="G171" s="2" t="s">
        <v>362</v>
      </c>
      <c r="H171" s="2" t="s">
        <v>363</v>
      </c>
      <c r="I171" s="2" t="s">
        <v>364</v>
      </c>
      <c r="J171" s="3" t="s">
        <v>95</v>
      </c>
      <c r="K171" s="2" t="s">
        <v>353</v>
      </c>
      <c r="L171" s="2"/>
      <c r="M171" s="2" t="s">
        <v>354</v>
      </c>
      <c r="N171" s="2">
        <v>23478</v>
      </c>
      <c r="P171" s="2" t="s">
        <v>365</v>
      </c>
      <c r="Q171" s="2" t="s">
        <v>366</v>
      </c>
    </row>
    <row r="172" spans="1:17" x14ac:dyDescent="0.2">
      <c r="A172" s="2" t="s">
        <v>346</v>
      </c>
      <c r="B172" s="2" t="s">
        <v>347</v>
      </c>
      <c r="D172" s="2" t="s">
        <v>348</v>
      </c>
      <c r="E172" s="2" t="s">
        <v>349</v>
      </c>
      <c r="F172" s="3">
        <v>46087.375144537036</v>
      </c>
      <c r="G172" s="2" t="s">
        <v>362</v>
      </c>
      <c r="H172" s="2" t="s">
        <v>363</v>
      </c>
      <c r="I172" s="2" t="s">
        <v>364</v>
      </c>
      <c r="J172" s="3" t="s">
        <v>95</v>
      </c>
      <c r="K172" s="2" t="s">
        <v>353</v>
      </c>
      <c r="L172" s="2"/>
      <c r="M172" s="2" t="s">
        <v>354</v>
      </c>
      <c r="N172" s="2">
        <v>-10178</v>
      </c>
      <c r="P172" s="2" t="s">
        <v>365</v>
      </c>
      <c r="Q172" s="2" t="s">
        <v>366</v>
      </c>
    </row>
    <row r="173" spans="1:17" x14ac:dyDescent="0.2">
      <c r="A173" s="2" t="s">
        <v>346</v>
      </c>
      <c r="B173" s="2" t="s">
        <v>347</v>
      </c>
      <c r="D173" s="2" t="s">
        <v>348</v>
      </c>
      <c r="E173" s="2" t="s">
        <v>349</v>
      </c>
      <c r="F173" s="3">
        <v>46087.375283831017</v>
      </c>
      <c r="G173" s="2" t="s">
        <v>362</v>
      </c>
      <c r="H173" s="2" t="s">
        <v>363</v>
      </c>
      <c r="I173" s="2" t="s">
        <v>364</v>
      </c>
      <c r="J173" s="3" t="s">
        <v>95</v>
      </c>
      <c r="K173" s="2" t="s">
        <v>353</v>
      </c>
      <c r="L173" s="2"/>
      <c r="M173" s="2" t="s">
        <v>354</v>
      </c>
      <c r="N173" s="2">
        <v>17225</v>
      </c>
      <c r="P173" s="2" t="s">
        <v>365</v>
      </c>
      <c r="Q173" s="2" t="s">
        <v>366</v>
      </c>
    </row>
    <row r="174" spans="1:17" x14ac:dyDescent="0.2">
      <c r="A174" s="2" t="s">
        <v>346</v>
      </c>
      <c r="B174" s="2" t="s">
        <v>347</v>
      </c>
      <c r="D174" s="2" t="s">
        <v>348</v>
      </c>
      <c r="E174" s="2" t="s">
        <v>349</v>
      </c>
      <c r="F174" s="3">
        <v>46087.375376840275</v>
      </c>
      <c r="G174" s="2" t="s">
        <v>362</v>
      </c>
      <c r="H174" s="2" t="s">
        <v>363</v>
      </c>
      <c r="I174" s="2" t="s">
        <v>364</v>
      </c>
      <c r="J174" s="3" t="s">
        <v>95</v>
      </c>
      <c r="K174" s="2" t="s">
        <v>353</v>
      </c>
      <c r="L174" s="2"/>
      <c r="M174" s="2" t="s">
        <v>354</v>
      </c>
      <c r="N174" s="2">
        <v>-11055</v>
      </c>
      <c r="P174" s="2" t="s">
        <v>365</v>
      </c>
      <c r="Q174" s="2" t="s">
        <v>366</v>
      </c>
    </row>
    <row r="175" spans="1:17" x14ac:dyDescent="0.2">
      <c r="A175" s="2" t="s">
        <v>346</v>
      </c>
      <c r="B175" s="2" t="s">
        <v>347</v>
      </c>
      <c r="D175" s="2" t="s">
        <v>348</v>
      </c>
      <c r="E175" s="2" t="s">
        <v>349</v>
      </c>
      <c r="F175" s="3">
        <v>46087.375434884256</v>
      </c>
      <c r="G175" s="2" t="s">
        <v>362</v>
      </c>
      <c r="H175" s="2" t="s">
        <v>363</v>
      </c>
      <c r="I175" s="2" t="s">
        <v>364</v>
      </c>
      <c r="J175" s="3" t="s">
        <v>95</v>
      </c>
      <c r="K175" s="2" t="s">
        <v>353</v>
      </c>
      <c r="L175" s="2"/>
      <c r="M175" s="2" t="s">
        <v>354</v>
      </c>
      <c r="N175" s="2">
        <v>26280</v>
      </c>
      <c r="P175" s="2" t="s">
        <v>365</v>
      </c>
      <c r="Q175" s="2" t="s">
        <v>366</v>
      </c>
    </row>
    <row r="176" spans="1:17" x14ac:dyDescent="0.2">
      <c r="A176" s="2" t="s">
        <v>346</v>
      </c>
      <c r="B176" s="2" t="s">
        <v>347</v>
      </c>
      <c r="D176" s="2" t="s">
        <v>348</v>
      </c>
      <c r="E176" s="2" t="s">
        <v>349</v>
      </c>
      <c r="F176" s="3">
        <v>46087.375504687501</v>
      </c>
      <c r="G176" s="2" t="s">
        <v>362</v>
      </c>
      <c r="H176" s="2" t="s">
        <v>363</v>
      </c>
      <c r="I176" s="2" t="s">
        <v>364</v>
      </c>
      <c r="J176" s="3" t="s">
        <v>95</v>
      </c>
      <c r="K176" s="2" t="s">
        <v>353</v>
      </c>
      <c r="L176" s="2"/>
      <c r="M176" s="2" t="s">
        <v>354</v>
      </c>
      <c r="N176" s="2">
        <v>-10870</v>
      </c>
      <c r="P176" s="2" t="s">
        <v>365</v>
      </c>
      <c r="Q176" s="2" t="s">
        <v>366</v>
      </c>
    </row>
    <row r="177" spans="1:17" x14ac:dyDescent="0.2">
      <c r="A177" s="2" t="s">
        <v>346</v>
      </c>
      <c r="B177" s="2" t="s">
        <v>347</v>
      </c>
      <c r="D177" s="2" t="s">
        <v>348</v>
      </c>
      <c r="E177" s="2" t="s">
        <v>349</v>
      </c>
      <c r="F177" s="3">
        <v>46087.375527800927</v>
      </c>
      <c r="G177" s="2" t="s">
        <v>362</v>
      </c>
      <c r="H177" s="2" t="s">
        <v>363</v>
      </c>
      <c r="I177" s="2" t="s">
        <v>364</v>
      </c>
      <c r="J177" s="3" t="s">
        <v>95</v>
      </c>
      <c r="K177" s="2" t="s">
        <v>353</v>
      </c>
      <c r="L177" s="2"/>
      <c r="M177" s="2" t="s">
        <v>354</v>
      </c>
      <c r="N177" s="2">
        <v>26645</v>
      </c>
      <c r="P177" s="2" t="s">
        <v>365</v>
      </c>
      <c r="Q177" s="2" t="s">
        <v>366</v>
      </c>
    </row>
    <row r="178" spans="1:17" x14ac:dyDescent="0.2">
      <c r="A178" s="2" t="s">
        <v>346</v>
      </c>
      <c r="B178" s="2" t="s">
        <v>347</v>
      </c>
      <c r="D178" s="2" t="s">
        <v>348</v>
      </c>
      <c r="E178" s="2" t="s">
        <v>349</v>
      </c>
      <c r="F178" s="3">
        <v>46087.375562835645</v>
      </c>
      <c r="G178" s="2" t="s">
        <v>362</v>
      </c>
      <c r="H178" s="2" t="s">
        <v>363</v>
      </c>
      <c r="I178" s="2" t="s">
        <v>364</v>
      </c>
      <c r="J178" s="3" t="s">
        <v>95</v>
      </c>
      <c r="K178" s="2" t="s">
        <v>353</v>
      </c>
      <c r="L178" s="2"/>
      <c r="M178" s="2" t="s">
        <v>354</v>
      </c>
      <c r="N178" s="2">
        <v>-9100</v>
      </c>
      <c r="P178" s="2" t="s">
        <v>365</v>
      </c>
      <c r="Q178" s="2" t="s">
        <v>366</v>
      </c>
    </row>
    <row r="179" spans="1:17" x14ac:dyDescent="0.2">
      <c r="A179" s="2" t="s">
        <v>346</v>
      </c>
      <c r="B179" s="2" t="s">
        <v>347</v>
      </c>
      <c r="D179" s="2" t="s">
        <v>348</v>
      </c>
      <c r="E179" s="2" t="s">
        <v>349</v>
      </c>
      <c r="F179" s="3">
        <v>46087.375632546296</v>
      </c>
      <c r="G179" s="2" t="s">
        <v>362</v>
      </c>
      <c r="H179" s="2" t="s">
        <v>363</v>
      </c>
      <c r="I179" s="2" t="s">
        <v>364</v>
      </c>
      <c r="J179" s="3" t="s">
        <v>95</v>
      </c>
      <c r="K179" s="2" t="s">
        <v>353</v>
      </c>
      <c r="L179" s="2"/>
      <c r="M179" s="2" t="s">
        <v>354</v>
      </c>
      <c r="N179" s="2">
        <v>21381</v>
      </c>
      <c r="P179" s="2" t="s">
        <v>365</v>
      </c>
      <c r="Q179" s="2" t="s">
        <v>366</v>
      </c>
    </row>
    <row r="180" spans="1:17" x14ac:dyDescent="0.2">
      <c r="A180" s="2" t="s">
        <v>346</v>
      </c>
      <c r="B180" s="2" t="s">
        <v>347</v>
      </c>
      <c r="D180" s="2" t="s">
        <v>348</v>
      </c>
      <c r="E180" s="2" t="s">
        <v>349</v>
      </c>
      <c r="F180" s="3">
        <v>46087.375644074076</v>
      </c>
      <c r="G180" s="2" t="s">
        <v>362</v>
      </c>
      <c r="H180" s="2" t="s">
        <v>363</v>
      </c>
      <c r="I180" s="2" t="s">
        <v>364</v>
      </c>
      <c r="J180" s="3" t="s">
        <v>95</v>
      </c>
      <c r="K180" s="2" t="s">
        <v>353</v>
      </c>
      <c r="L180" s="2"/>
      <c r="M180" s="2" t="s">
        <v>354</v>
      </c>
      <c r="N180" s="2">
        <v>-9982</v>
      </c>
      <c r="P180" s="2" t="s">
        <v>365</v>
      </c>
      <c r="Q180" s="2" t="s">
        <v>366</v>
      </c>
    </row>
    <row r="181" spans="1:17" x14ac:dyDescent="0.2">
      <c r="A181" s="2" t="s">
        <v>346</v>
      </c>
      <c r="B181" s="2" t="s">
        <v>347</v>
      </c>
      <c r="D181" s="2" t="s">
        <v>348</v>
      </c>
      <c r="E181" s="2" t="s">
        <v>349</v>
      </c>
      <c r="F181" s="3">
        <v>46087.376027789353</v>
      </c>
      <c r="G181" s="2" t="s">
        <v>362</v>
      </c>
      <c r="H181" s="2" t="s">
        <v>363</v>
      </c>
      <c r="I181" s="2" t="s">
        <v>364</v>
      </c>
      <c r="J181" s="3" t="s">
        <v>95</v>
      </c>
      <c r="K181" s="2" t="s">
        <v>353</v>
      </c>
      <c r="L181" s="2"/>
      <c r="M181" s="2" t="s">
        <v>354</v>
      </c>
      <c r="N181" s="2">
        <v>13340</v>
      </c>
      <c r="P181" s="2" t="s">
        <v>365</v>
      </c>
      <c r="Q181" s="2" t="s">
        <v>366</v>
      </c>
    </row>
    <row r="182" spans="1:17" x14ac:dyDescent="0.2">
      <c r="A182" s="2" t="s">
        <v>346</v>
      </c>
      <c r="B182" s="2" t="s">
        <v>347</v>
      </c>
      <c r="D182" s="2" t="s">
        <v>348</v>
      </c>
      <c r="E182" s="2" t="s">
        <v>349</v>
      </c>
      <c r="F182" s="3">
        <v>46087.376039456016</v>
      </c>
      <c r="G182" s="2" t="s">
        <v>362</v>
      </c>
      <c r="H182" s="2" t="s">
        <v>363</v>
      </c>
      <c r="I182" s="2" t="s">
        <v>364</v>
      </c>
      <c r="J182" s="3" t="s">
        <v>95</v>
      </c>
      <c r="K182" s="2" t="s">
        <v>353</v>
      </c>
      <c r="L182" s="2"/>
      <c r="M182" s="2" t="s">
        <v>354</v>
      </c>
      <c r="N182" s="2">
        <v>-13523</v>
      </c>
      <c r="P182" s="2" t="s">
        <v>365</v>
      </c>
      <c r="Q182" s="2" t="s">
        <v>366</v>
      </c>
    </row>
    <row r="183" spans="1:17" x14ac:dyDescent="0.2">
      <c r="A183" s="2" t="s">
        <v>346</v>
      </c>
      <c r="B183" s="2" t="s">
        <v>347</v>
      </c>
      <c r="D183" s="2" t="s">
        <v>348</v>
      </c>
      <c r="E183" s="2" t="s">
        <v>349</v>
      </c>
      <c r="F183" s="3">
        <v>46087.376062731484</v>
      </c>
      <c r="G183" s="2" t="s">
        <v>362</v>
      </c>
      <c r="H183" s="2" t="s">
        <v>363</v>
      </c>
      <c r="I183" s="2" t="s">
        <v>364</v>
      </c>
      <c r="J183" s="3" t="s">
        <v>95</v>
      </c>
      <c r="K183" s="2" t="s">
        <v>353</v>
      </c>
      <c r="L183" s="2"/>
      <c r="M183" s="2" t="s">
        <v>354</v>
      </c>
      <c r="N183" s="2">
        <v>22662</v>
      </c>
      <c r="P183" s="2" t="s">
        <v>365</v>
      </c>
      <c r="Q183" s="2" t="s">
        <v>366</v>
      </c>
    </row>
    <row r="184" spans="1:17" x14ac:dyDescent="0.2">
      <c r="A184" s="2" t="s">
        <v>346</v>
      </c>
      <c r="B184" s="2" t="s">
        <v>347</v>
      </c>
      <c r="D184" s="2" t="s">
        <v>348</v>
      </c>
      <c r="E184" s="2" t="s">
        <v>349</v>
      </c>
      <c r="F184" s="3">
        <v>46087.376388124998</v>
      </c>
      <c r="G184" s="2" t="s">
        <v>362</v>
      </c>
      <c r="H184" s="2" t="s">
        <v>363</v>
      </c>
      <c r="I184" s="2" t="s">
        <v>364</v>
      </c>
      <c r="J184" s="3" t="s">
        <v>95</v>
      </c>
      <c r="K184" s="2" t="s">
        <v>353</v>
      </c>
      <c r="L184" s="2"/>
      <c r="M184" s="2" t="s">
        <v>354</v>
      </c>
      <c r="N184" s="2">
        <v>-34592</v>
      </c>
      <c r="P184" s="2" t="s">
        <v>365</v>
      </c>
      <c r="Q184" s="2" t="s">
        <v>366</v>
      </c>
    </row>
    <row r="185" spans="1:17" x14ac:dyDescent="0.2">
      <c r="A185" s="2" t="s">
        <v>346</v>
      </c>
      <c r="B185" s="2" t="s">
        <v>347</v>
      </c>
      <c r="D185" s="2" t="s">
        <v>348</v>
      </c>
      <c r="E185" s="2" t="s">
        <v>349</v>
      </c>
      <c r="F185" s="3">
        <v>46087.376469722221</v>
      </c>
      <c r="G185" s="2" t="s">
        <v>362</v>
      </c>
      <c r="H185" s="2" t="s">
        <v>363</v>
      </c>
      <c r="I185" s="2" t="s">
        <v>364</v>
      </c>
      <c r="J185" s="3" t="s">
        <v>95</v>
      </c>
      <c r="K185" s="2" t="s">
        <v>353</v>
      </c>
      <c r="L185" s="2"/>
      <c r="M185" s="2" t="s">
        <v>354</v>
      </c>
      <c r="N185" s="2">
        <v>7001</v>
      </c>
      <c r="P185" s="2" t="s">
        <v>365</v>
      </c>
      <c r="Q185" s="2" t="s">
        <v>366</v>
      </c>
    </row>
    <row r="186" spans="1:17" x14ac:dyDescent="0.2">
      <c r="A186" s="2" t="s">
        <v>346</v>
      </c>
      <c r="B186" s="2" t="s">
        <v>347</v>
      </c>
      <c r="D186" s="2" t="s">
        <v>348</v>
      </c>
      <c r="E186" s="2" t="s">
        <v>349</v>
      </c>
      <c r="F186" s="3">
        <v>46087.37655119213</v>
      </c>
      <c r="G186" s="2" t="s">
        <v>362</v>
      </c>
      <c r="H186" s="2" t="s">
        <v>363</v>
      </c>
      <c r="I186" s="2" t="s">
        <v>364</v>
      </c>
      <c r="J186" s="3" t="s">
        <v>95</v>
      </c>
      <c r="K186" s="2" t="s">
        <v>353</v>
      </c>
      <c r="L186" s="2"/>
      <c r="M186" s="2" t="s">
        <v>354</v>
      </c>
      <c r="N186" s="2">
        <v>-29176</v>
      </c>
      <c r="P186" s="2" t="s">
        <v>365</v>
      </c>
      <c r="Q186" s="2" t="s">
        <v>366</v>
      </c>
    </row>
    <row r="187" spans="1:17" x14ac:dyDescent="0.2">
      <c r="A187" s="2" t="s">
        <v>346</v>
      </c>
      <c r="B187" s="2" t="s">
        <v>347</v>
      </c>
      <c r="D187" s="2" t="s">
        <v>348</v>
      </c>
      <c r="E187" s="2" t="s">
        <v>349</v>
      </c>
      <c r="F187" s="3">
        <v>46087.37656290509</v>
      </c>
      <c r="G187" s="2" t="s">
        <v>362</v>
      </c>
      <c r="H187" s="2" t="s">
        <v>363</v>
      </c>
      <c r="I187" s="2" t="s">
        <v>364</v>
      </c>
      <c r="J187" s="3" t="s">
        <v>95</v>
      </c>
      <c r="K187" s="2" t="s">
        <v>353</v>
      </c>
      <c r="L187" s="2"/>
      <c r="M187" s="2" t="s">
        <v>354</v>
      </c>
      <c r="N187" s="2">
        <v>9646</v>
      </c>
      <c r="P187" s="2" t="s">
        <v>365</v>
      </c>
      <c r="Q187" s="2" t="s">
        <v>366</v>
      </c>
    </row>
    <row r="188" spans="1:17" x14ac:dyDescent="0.2">
      <c r="A188" s="2" t="s">
        <v>346</v>
      </c>
      <c r="B188" s="2" t="s">
        <v>347</v>
      </c>
      <c r="D188" s="2" t="s">
        <v>348</v>
      </c>
      <c r="E188" s="2" t="s">
        <v>349</v>
      </c>
      <c r="F188" s="3">
        <v>46087.37662091435</v>
      </c>
      <c r="G188" s="2" t="s">
        <v>362</v>
      </c>
      <c r="H188" s="2" t="s">
        <v>363</v>
      </c>
      <c r="I188" s="2" t="s">
        <v>364</v>
      </c>
      <c r="J188" s="3" t="s">
        <v>95</v>
      </c>
      <c r="K188" s="2" t="s">
        <v>353</v>
      </c>
      <c r="L188" s="2"/>
      <c r="M188" s="2" t="s">
        <v>354</v>
      </c>
      <c r="N188" s="2">
        <v>32032</v>
      </c>
      <c r="P188" s="2" t="s">
        <v>365</v>
      </c>
      <c r="Q188" s="2" t="s">
        <v>366</v>
      </c>
    </row>
    <row r="189" spans="1:17" x14ac:dyDescent="0.2">
      <c r="A189" s="2" t="s">
        <v>346</v>
      </c>
      <c r="B189" s="2" t="s">
        <v>347</v>
      </c>
      <c r="D189" s="2" t="s">
        <v>348</v>
      </c>
      <c r="E189" s="2" t="s">
        <v>349</v>
      </c>
      <c r="F189" s="3">
        <v>46087.376667974539</v>
      </c>
      <c r="G189" s="2" t="s">
        <v>362</v>
      </c>
      <c r="H189" s="2" t="s">
        <v>363</v>
      </c>
      <c r="I189" s="2" t="s">
        <v>364</v>
      </c>
      <c r="J189" s="3" t="s">
        <v>95</v>
      </c>
      <c r="K189" s="2" t="s">
        <v>353</v>
      </c>
      <c r="L189" s="2"/>
      <c r="M189" s="2" t="s">
        <v>354</v>
      </c>
      <c r="N189" s="2">
        <v>-6561</v>
      </c>
      <c r="P189" s="2" t="s">
        <v>365</v>
      </c>
      <c r="Q189" s="2" t="s">
        <v>366</v>
      </c>
    </row>
    <row r="190" spans="1:17" x14ac:dyDescent="0.2">
      <c r="A190" s="2" t="s">
        <v>346</v>
      </c>
      <c r="B190" s="2" t="s">
        <v>347</v>
      </c>
      <c r="D190" s="2" t="s">
        <v>348</v>
      </c>
      <c r="E190" s="2" t="s">
        <v>349</v>
      </c>
      <c r="F190" s="3">
        <v>46087.376691215279</v>
      </c>
      <c r="G190" s="2" t="s">
        <v>362</v>
      </c>
      <c r="H190" s="2" t="s">
        <v>363</v>
      </c>
      <c r="I190" s="2" t="s">
        <v>364</v>
      </c>
      <c r="J190" s="3" t="s">
        <v>95</v>
      </c>
      <c r="K190" s="2" t="s">
        <v>353</v>
      </c>
      <c r="L190" s="2"/>
      <c r="M190" s="2" t="s">
        <v>354</v>
      </c>
      <c r="N190" s="2">
        <v>27884</v>
      </c>
      <c r="P190" s="2" t="s">
        <v>365</v>
      </c>
      <c r="Q190" s="2" t="s">
        <v>366</v>
      </c>
    </row>
    <row r="191" spans="1:17" x14ac:dyDescent="0.2">
      <c r="A191" s="2" t="s">
        <v>346</v>
      </c>
      <c r="B191" s="2" t="s">
        <v>347</v>
      </c>
      <c r="D191" s="2" t="s">
        <v>348</v>
      </c>
      <c r="E191" s="2" t="s">
        <v>349</v>
      </c>
      <c r="F191" s="3">
        <v>46087.376762465276</v>
      </c>
      <c r="G191" s="2" t="s">
        <v>350</v>
      </c>
      <c r="H191" s="2" t="s">
        <v>351</v>
      </c>
      <c r="I191" s="2" t="s">
        <v>352</v>
      </c>
      <c r="J191" s="3" t="s">
        <v>95</v>
      </c>
      <c r="K191" s="2" t="s">
        <v>353</v>
      </c>
      <c r="L191" s="2"/>
      <c r="M191" s="2" t="s">
        <v>354</v>
      </c>
      <c r="N191" s="2">
        <v>70.975000000000009</v>
      </c>
      <c r="P191" s="2" t="s">
        <v>355</v>
      </c>
      <c r="Q191" s="2" t="s">
        <v>356</v>
      </c>
    </row>
    <row r="192" spans="1:17" x14ac:dyDescent="0.2">
      <c r="A192" s="2" t="s">
        <v>346</v>
      </c>
      <c r="B192" s="2" t="s">
        <v>347</v>
      </c>
      <c r="D192" s="2" t="s">
        <v>348</v>
      </c>
      <c r="E192" s="2" t="s">
        <v>349</v>
      </c>
      <c r="F192" s="3">
        <v>46087.376970034726</v>
      </c>
      <c r="G192" s="2" t="s">
        <v>362</v>
      </c>
      <c r="H192" s="2" t="s">
        <v>363</v>
      </c>
      <c r="I192" s="2" t="s">
        <v>364</v>
      </c>
      <c r="J192" s="3" t="s">
        <v>95</v>
      </c>
      <c r="K192" s="2" t="s">
        <v>353</v>
      </c>
      <c r="L192" s="2"/>
      <c r="M192" s="2" t="s">
        <v>354</v>
      </c>
      <c r="N192" s="2">
        <v>-10905</v>
      </c>
      <c r="P192" s="2" t="s">
        <v>365</v>
      </c>
      <c r="Q192" s="2" t="s">
        <v>366</v>
      </c>
    </row>
    <row r="193" spans="1:17" x14ac:dyDescent="0.2">
      <c r="A193" s="2" t="s">
        <v>346</v>
      </c>
      <c r="B193" s="2" t="s">
        <v>347</v>
      </c>
      <c r="D193" s="2" t="s">
        <v>348</v>
      </c>
      <c r="E193" s="2" t="s">
        <v>349</v>
      </c>
      <c r="F193" s="3">
        <v>46087.37707451389</v>
      </c>
      <c r="G193" s="2" t="s">
        <v>362</v>
      </c>
      <c r="H193" s="2" t="s">
        <v>363</v>
      </c>
      <c r="I193" s="2" t="s">
        <v>364</v>
      </c>
      <c r="J193" s="3" t="s">
        <v>95</v>
      </c>
      <c r="K193" s="2" t="s">
        <v>353</v>
      </c>
      <c r="L193" s="2"/>
      <c r="M193" s="2" t="s">
        <v>354</v>
      </c>
      <c r="N193" s="2">
        <v>15812</v>
      </c>
      <c r="P193" s="2" t="s">
        <v>365</v>
      </c>
      <c r="Q193" s="2" t="s">
        <v>366</v>
      </c>
    </row>
    <row r="194" spans="1:17" x14ac:dyDescent="0.2">
      <c r="A194" s="2" t="s">
        <v>346</v>
      </c>
      <c r="B194" s="2" t="s">
        <v>347</v>
      </c>
      <c r="D194" s="2" t="s">
        <v>348</v>
      </c>
      <c r="E194" s="2" t="s">
        <v>349</v>
      </c>
      <c r="F194" s="3">
        <v>46087.377237233799</v>
      </c>
      <c r="G194" s="2" t="s">
        <v>362</v>
      </c>
      <c r="H194" s="2" t="s">
        <v>363</v>
      </c>
      <c r="I194" s="2" t="s">
        <v>364</v>
      </c>
      <c r="J194" s="3" t="s">
        <v>95</v>
      </c>
      <c r="K194" s="2" t="s">
        <v>353</v>
      </c>
      <c r="L194" s="2"/>
      <c r="M194" s="2" t="s">
        <v>354</v>
      </c>
      <c r="N194" s="2">
        <v>-8107</v>
      </c>
      <c r="P194" s="2" t="s">
        <v>365</v>
      </c>
      <c r="Q194" s="2" t="s">
        <v>366</v>
      </c>
    </row>
    <row r="195" spans="1:17" x14ac:dyDescent="0.2">
      <c r="A195" s="2" t="s">
        <v>346</v>
      </c>
      <c r="B195" s="2" t="s">
        <v>347</v>
      </c>
      <c r="D195" s="2" t="s">
        <v>348</v>
      </c>
      <c r="E195" s="2" t="s">
        <v>349</v>
      </c>
      <c r="F195" s="3">
        <v>46087.37729546296</v>
      </c>
      <c r="G195" s="2" t="s">
        <v>362</v>
      </c>
      <c r="H195" s="2" t="s">
        <v>363</v>
      </c>
      <c r="I195" s="2" t="s">
        <v>364</v>
      </c>
      <c r="J195" s="3" t="s">
        <v>95</v>
      </c>
      <c r="K195" s="2" t="s">
        <v>353</v>
      </c>
      <c r="L195" s="2"/>
      <c r="M195" s="2" t="s">
        <v>354</v>
      </c>
      <c r="N195" s="2">
        <v>30660</v>
      </c>
      <c r="P195" s="2" t="s">
        <v>365</v>
      </c>
      <c r="Q195" s="2" t="s">
        <v>366</v>
      </c>
    </row>
    <row r="196" spans="1:17" x14ac:dyDescent="0.2">
      <c r="A196" s="2" t="s">
        <v>346</v>
      </c>
      <c r="B196" s="2" t="s">
        <v>347</v>
      </c>
      <c r="D196" s="2" t="s">
        <v>348</v>
      </c>
      <c r="E196" s="2" t="s">
        <v>349</v>
      </c>
      <c r="F196" s="3">
        <v>46087.377318749997</v>
      </c>
      <c r="G196" s="2" t="s">
        <v>362</v>
      </c>
      <c r="H196" s="2" t="s">
        <v>363</v>
      </c>
      <c r="I196" s="2" t="s">
        <v>364</v>
      </c>
      <c r="J196" s="3" t="s">
        <v>95</v>
      </c>
      <c r="K196" s="2" t="s">
        <v>353</v>
      </c>
      <c r="L196" s="2"/>
      <c r="M196" s="2" t="s">
        <v>354</v>
      </c>
      <c r="N196" s="2">
        <v>-11434</v>
      </c>
      <c r="P196" s="2" t="s">
        <v>365</v>
      </c>
      <c r="Q196" s="2" t="s">
        <v>366</v>
      </c>
    </row>
    <row r="197" spans="1:17" x14ac:dyDescent="0.2">
      <c r="A197" s="2" t="s">
        <v>346</v>
      </c>
      <c r="B197" s="2" t="s">
        <v>347</v>
      </c>
      <c r="D197" s="2" t="s">
        <v>348</v>
      </c>
      <c r="E197" s="2" t="s">
        <v>349</v>
      </c>
      <c r="F197" s="3">
        <v>46087.377423460646</v>
      </c>
      <c r="G197" s="2" t="s">
        <v>362</v>
      </c>
      <c r="H197" s="2" t="s">
        <v>363</v>
      </c>
      <c r="I197" s="2" t="s">
        <v>364</v>
      </c>
      <c r="J197" s="3" t="s">
        <v>95</v>
      </c>
      <c r="K197" s="2" t="s">
        <v>353</v>
      </c>
      <c r="L197" s="2"/>
      <c r="M197" s="2" t="s">
        <v>354</v>
      </c>
      <c r="N197" s="2">
        <v>18191</v>
      </c>
      <c r="P197" s="2" t="s">
        <v>365</v>
      </c>
      <c r="Q197" s="2" t="s">
        <v>366</v>
      </c>
    </row>
    <row r="198" spans="1:17" x14ac:dyDescent="0.2">
      <c r="A198" s="2" t="s">
        <v>346</v>
      </c>
      <c r="B198" s="2" t="s">
        <v>347</v>
      </c>
      <c r="D198" s="2" t="s">
        <v>348</v>
      </c>
      <c r="E198" s="2" t="s">
        <v>349</v>
      </c>
      <c r="F198" s="3">
        <v>46087.377492997686</v>
      </c>
      <c r="G198" s="2" t="s">
        <v>362</v>
      </c>
      <c r="H198" s="2" t="s">
        <v>363</v>
      </c>
      <c r="I198" s="2" t="s">
        <v>364</v>
      </c>
      <c r="J198" s="3" t="s">
        <v>95</v>
      </c>
      <c r="K198" s="2" t="s">
        <v>353</v>
      </c>
      <c r="L198" s="2"/>
      <c r="M198" s="2" t="s">
        <v>354</v>
      </c>
      <c r="N198" s="2">
        <v>-11728</v>
      </c>
      <c r="P198" s="2" t="s">
        <v>365</v>
      </c>
      <c r="Q198" s="2" t="s">
        <v>366</v>
      </c>
    </row>
    <row r="199" spans="1:17" x14ac:dyDescent="0.2">
      <c r="A199" s="2" t="s">
        <v>346</v>
      </c>
      <c r="B199" s="2" t="s">
        <v>347</v>
      </c>
      <c r="D199" s="2" t="s">
        <v>348</v>
      </c>
      <c r="E199" s="2" t="s">
        <v>349</v>
      </c>
      <c r="F199" s="3">
        <v>46087.377818645837</v>
      </c>
      <c r="G199" s="2" t="s">
        <v>362</v>
      </c>
      <c r="H199" s="2" t="s">
        <v>363</v>
      </c>
      <c r="I199" s="2" t="s">
        <v>364</v>
      </c>
      <c r="J199" s="3" t="s">
        <v>95</v>
      </c>
      <c r="K199" s="2" t="s">
        <v>353</v>
      </c>
      <c r="L199" s="2"/>
      <c r="M199" s="2" t="s">
        <v>354</v>
      </c>
      <c r="N199" s="2">
        <v>14457</v>
      </c>
      <c r="P199" s="2" t="s">
        <v>365</v>
      </c>
      <c r="Q199" s="2" t="s">
        <v>366</v>
      </c>
    </row>
    <row r="200" spans="1:17" x14ac:dyDescent="0.2">
      <c r="A200" s="2" t="s">
        <v>346</v>
      </c>
      <c r="B200" s="2" t="s">
        <v>347</v>
      </c>
      <c r="D200" s="2" t="s">
        <v>348</v>
      </c>
      <c r="E200" s="2" t="s">
        <v>349</v>
      </c>
      <c r="F200" s="3">
        <v>46087.377888414354</v>
      </c>
      <c r="G200" s="2" t="s">
        <v>362</v>
      </c>
      <c r="H200" s="2" t="s">
        <v>363</v>
      </c>
      <c r="I200" s="2" t="s">
        <v>364</v>
      </c>
      <c r="J200" s="3" t="s">
        <v>95</v>
      </c>
      <c r="K200" s="2" t="s">
        <v>353</v>
      </c>
      <c r="L200" s="2"/>
      <c r="M200" s="2" t="s">
        <v>354</v>
      </c>
      <c r="N200" s="2">
        <v>-15910</v>
      </c>
      <c r="P200" s="2" t="s">
        <v>365</v>
      </c>
      <c r="Q200" s="2" t="s">
        <v>366</v>
      </c>
    </row>
    <row r="201" spans="1:17" x14ac:dyDescent="0.2">
      <c r="A201" s="2" t="s">
        <v>346</v>
      </c>
      <c r="B201" s="2" t="s">
        <v>347</v>
      </c>
      <c r="D201" s="2" t="s">
        <v>348</v>
      </c>
      <c r="E201" s="2" t="s">
        <v>349</v>
      </c>
      <c r="F201" s="3">
        <v>46087.378004560182</v>
      </c>
      <c r="G201" s="2" t="s">
        <v>362</v>
      </c>
      <c r="H201" s="2" t="s">
        <v>363</v>
      </c>
      <c r="I201" s="2" t="s">
        <v>364</v>
      </c>
      <c r="J201" s="3" t="s">
        <v>95</v>
      </c>
      <c r="K201" s="2" t="s">
        <v>353</v>
      </c>
      <c r="L201" s="2"/>
      <c r="M201" s="2" t="s">
        <v>354</v>
      </c>
      <c r="N201" s="2">
        <v>6808</v>
      </c>
      <c r="P201" s="2" t="s">
        <v>365</v>
      </c>
      <c r="Q201" s="2" t="s">
        <v>366</v>
      </c>
    </row>
    <row r="202" spans="1:17" x14ac:dyDescent="0.2">
      <c r="A202" s="2" t="s">
        <v>346</v>
      </c>
      <c r="B202" s="2" t="s">
        <v>347</v>
      </c>
      <c r="D202" s="2" t="s">
        <v>348</v>
      </c>
      <c r="E202" s="2" t="s">
        <v>349</v>
      </c>
      <c r="F202" s="3">
        <v>46087.378132372687</v>
      </c>
      <c r="G202" s="2" t="s">
        <v>362</v>
      </c>
      <c r="H202" s="2" t="s">
        <v>363</v>
      </c>
      <c r="I202" s="2" t="s">
        <v>364</v>
      </c>
      <c r="J202" s="3" t="s">
        <v>95</v>
      </c>
      <c r="K202" s="2" t="s">
        <v>353</v>
      </c>
      <c r="L202" s="2"/>
      <c r="M202" s="2" t="s">
        <v>354</v>
      </c>
      <c r="N202" s="2">
        <v>-42392</v>
      </c>
      <c r="P202" s="2" t="s">
        <v>365</v>
      </c>
      <c r="Q202" s="2" t="s">
        <v>366</v>
      </c>
    </row>
    <row r="203" spans="1:17" x14ac:dyDescent="0.2">
      <c r="A203" s="2" t="s">
        <v>346</v>
      </c>
      <c r="B203" s="2" t="s">
        <v>347</v>
      </c>
      <c r="D203" s="2" t="s">
        <v>348</v>
      </c>
      <c r="E203" s="2" t="s">
        <v>349</v>
      </c>
      <c r="F203" s="3">
        <v>46087.37815542824</v>
      </c>
      <c r="G203" s="2" t="s">
        <v>362</v>
      </c>
      <c r="H203" s="2" t="s">
        <v>363</v>
      </c>
      <c r="I203" s="2" t="s">
        <v>364</v>
      </c>
      <c r="J203" s="3" t="s">
        <v>95</v>
      </c>
      <c r="K203" s="2" t="s">
        <v>353</v>
      </c>
      <c r="L203" s="2"/>
      <c r="M203" s="2" t="s">
        <v>354</v>
      </c>
      <c r="N203" s="2">
        <v>-5960</v>
      </c>
      <c r="P203" s="2" t="s">
        <v>365</v>
      </c>
      <c r="Q203" s="2" t="s">
        <v>366</v>
      </c>
    </row>
    <row r="204" spans="1:17" x14ac:dyDescent="0.2">
      <c r="A204" s="2" t="s">
        <v>346</v>
      </c>
      <c r="B204" s="2" t="s">
        <v>347</v>
      </c>
      <c r="D204" s="2" t="s">
        <v>348</v>
      </c>
      <c r="E204" s="2" t="s">
        <v>349</v>
      </c>
      <c r="F204" s="3">
        <v>46087.378260046295</v>
      </c>
      <c r="G204" s="2" t="s">
        <v>362</v>
      </c>
      <c r="H204" s="2" t="s">
        <v>363</v>
      </c>
      <c r="I204" s="2" t="s">
        <v>364</v>
      </c>
      <c r="J204" s="3" t="s">
        <v>95</v>
      </c>
      <c r="K204" s="2" t="s">
        <v>353</v>
      </c>
      <c r="L204" s="2"/>
      <c r="M204" s="2" t="s">
        <v>354</v>
      </c>
      <c r="N204" s="2">
        <v>16331</v>
      </c>
      <c r="P204" s="2" t="s">
        <v>365</v>
      </c>
      <c r="Q204" s="2" t="s">
        <v>366</v>
      </c>
    </row>
    <row r="205" spans="1:17" x14ac:dyDescent="0.2">
      <c r="A205" s="2" t="s">
        <v>346</v>
      </c>
      <c r="B205" s="2" t="s">
        <v>347</v>
      </c>
      <c r="D205" s="2" t="s">
        <v>348</v>
      </c>
      <c r="E205" s="2" t="s">
        <v>349</v>
      </c>
      <c r="F205" s="3">
        <v>46087.378678842593</v>
      </c>
      <c r="G205" s="2" t="s">
        <v>362</v>
      </c>
      <c r="H205" s="2" t="s">
        <v>363</v>
      </c>
      <c r="I205" s="2" t="s">
        <v>364</v>
      </c>
      <c r="J205" s="3" t="s">
        <v>95</v>
      </c>
      <c r="K205" s="2" t="s">
        <v>353</v>
      </c>
      <c r="L205" s="2"/>
      <c r="M205" s="2" t="s">
        <v>354</v>
      </c>
      <c r="N205" s="2">
        <v>-25970</v>
      </c>
      <c r="P205" s="2" t="s">
        <v>365</v>
      </c>
      <c r="Q205" s="2" t="s">
        <v>366</v>
      </c>
    </row>
    <row r="206" spans="1:17" x14ac:dyDescent="0.2">
      <c r="A206" s="2" t="s">
        <v>346</v>
      </c>
      <c r="B206" s="2" t="s">
        <v>347</v>
      </c>
      <c r="D206" s="2" t="s">
        <v>348</v>
      </c>
      <c r="E206" s="2" t="s">
        <v>349</v>
      </c>
      <c r="F206" s="3">
        <v>46087.379446840278</v>
      </c>
      <c r="G206" s="2" t="s">
        <v>362</v>
      </c>
      <c r="H206" s="2" t="s">
        <v>363</v>
      </c>
      <c r="I206" s="2" t="s">
        <v>364</v>
      </c>
      <c r="J206" s="3" t="s">
        <v>95</v>
      </c>
      <c r="K206" s="2" t="s">
        <v>353</v>
      </c>
      <c r="L206" s="2"/>
      <c r="M206" s="2" t="s">
        <v>354</v>
      </c>
      <c r="N206" s="2">
        <v>47225</v>
      </c>
      <c r="P206" s="2" t="s">
        <v>365</v>
      </c>
      <c r="Q206" s="2" t="s">
        <v>366</v>
      </c>
    </row>
    <row r="207" spans="1:17" x14ac:dyDescent="0.2">
      <c r="A207" s="2" t="s">
        <v>346</v>
      </c>
      <c r="B207" s="2" t="s">
        <v>347</v>
      </c>
      <c r="D207" s="2" t="s">
        <v>348</v>
      </c>
      <c r="E207" s="2" t="s">
        <v>349</v>
      </c>
      <c r="F207" s="3">
        <v>46087.379493229164</v>
      </c>
      <c r="G207" s="2" t="s">
        <v>362</v>
      </c>
      <c r="H207" s="2" t="s">
        <v>363</v>
      </c>
      <c r="I207" s="2" t="s">
        <v>364</v>
      </c>
      <c r="J207" s="3" t="s">
        <v>95</v>
      </c>
      <c r="K207" s="2" t="s">
        <v>353</v>
      </c>
      <c r="L207" s="2"/>
      <c r="M207" s="2" t="s">
        <v>354</v>
      </c>
      <c r="N207" s="2">
        <v>45000</v>
      </c>
      <c r="P207" s="2" t="s">
        <v>365</v>
      </c>
      <c r="Q207" s="2" t="s">
        <v>366</v>
      </c>
    </row>
    <row r="208" spans="1:17" x14ac:dyDescent="0.2">
      <c r="A208" s="2" t="s">
        <v>346</v>
      </c>
      <c r="B208" s="2" t="s">
        <v>347</v>
      </c>
      <c r="D208" s="2" t="s">
        <v>348</v>
      </c>
      <c r="E208" s="2" t="s">
        <v>349</v>
      </c>
      <c r="F208" s="3">
        <v>46087.379516550929</v>
      </c>
      <c r="G208" s="2" t="s">
        <v>362</v>
      </c>
      <c r="H208" s="2" t="s">
        <v>363</v>
      </c>
      <c r="I208" s="2" t="s">
        <v>364</v>
      </c>
      <c r="J208" s="3" t="s">
        <v>95</v>
      </c>
      <c r="K208" s="2" t="s">
        <v>353</v>
      </c>
      <c r="L208" s="2"/>
      <c r="M208" s="2" t="s">
        <v>354</v>
      </c>
      <c r="N208" s="2">
        <v>-7581</v>
      </c>
      <c r="P208" s="2" t="s">
        <v>365</v>
      </c>
      <c r="Q208" s="2" t="s">
        <v>366</v>
      </c>
    </row>
    <row r="209" spans="1:17" x14ac:dyDescent="0.2">
      <c r="A209" s="2" t="s">
        <v>346</v>
      </c>
      <c r="B209" s="2" t="s">
        <v>347</v>
      </c>
      <c r="D209" s="2" t="s">
        <v>348</v>
      </c>
      <c r="E209" s="2" t="s">
        <v>349</v>
      </c>
      <c r="F209" s="3">
        <v>46087.379562939816</v>
      </c>
      <c r="G209" s="2" t="s">
        <v>362</v>
      </c>
      <c r="H209" s="2" t="s">
        <v>363</v>
      </c>
      <c r="I209" s="2" t="s">
        <v>364</v>
      </c>
      <c r="J209" s="3" t="s">
        <v>95</v>
      </c>
      <c r="K209" s="2" t="s">
        <v>353</v>
      </c>
      <c r="L209" s="2"/>
      <c r="M209" s="2" t="s">
        <v>354</v>
      </c>
      <c r="N209" s="2">
        <v>39222</v>
      </c>
      <c r="P209" s="2" t="s">
        <v>365</v>
      </c>
      <c r="Q209" s="2" t="s">
        <v>366</v>
      </c>
    </row>
    <row r="210" spans="1:17" x14ac:dyDescent="0.2">
      <c r="A210" s="2" t="s">
        <v>346</v>
      </c>
      <c r="B210" s="2" t="s">
        <v>347</v>
      </c>
      <c r="D210" s="2" t="s">
        <v>348</v>
      </c>
      <c r="E210" s="2" t="s">
        <v>349</v>
      </c>
      <c r="F210" s="3">
        <v>46087.379667384259</v>
      </c>
      <c r="G210" s="2" t="s">
        <v>362</v>
      </c>
      <c r="H210" s="2" t="s">
        <v>363</v>
      </c>
      <c r="I210" s="2" t="s">
        <v>364</v>
      </c>
      <c r="J210" s="3" t="s">
        <v>95</v>
      </c>
      <c r="K210" s="2" t="s">
        <v>353</v>
      </c>
      <c r="L210" s="2"/>
      <c r="M210" s="2" t="s">
        <v>354</v>
      </c>
      <c r="N210" s="2">
        <v>1810</v>
      </c>
      <c r="P210" s="2" t="s">
        <v>365</v>
      </c>
      <c r="Q210" s="2" t="s">
        <v>366</v>
      </c>
    </row>
    <row r="211" spans="1:17" x14ac:dyDescent="0.2">
      <c r="A211" s="2" t="s">
        <v>346</v>
      </c>
      <c r="B211" s="2" t="s">
        <v>347</v>
      </c>
      <c r="D211" s="2" t="s">
        <v>348</v>
      </c>
      <c r="E211" s="2" t="s">
        <v>349</v>
      </c>
      <c r="F211" s="3">
        <v>46087.379725613428</v>
      </c>
      <c r="G211" s="2" t="s">
        <v>362</v>
      </c>
      <c r="H211" s="2" t="s">
        <v>363</v>
      </c>
      <c r="I211" s="2" t="s">
        <v>364</v>
      </c>
      <c r="J211" s="3" t="s">
        <v>95</v>
      </c>
      <c r="K211" s="2" t="s">
        <v>353</v>
      </c>
      <c r="L211" s="2"/>
      <c r="M211" s="2" t="s">
        <v>354</v>
      </c>
      <c r="N211" s="2">
        <v>28659</v>
      </c>
      <c r="P211" s="2" t="s">
        <v>365</v>
      </c>
      <c r="Q211" s="2" t="s">
        <v>366</v>
      </c>
    </row>
    <row r="212" spans="1:17" x14ac:dyDescent="0.2">
      <c r="A212" s="2" t="s">
        <v>346</v>
      </c>
      <c r="B212" s="2" t="s">
        <v>347</v>
      </c>
      <c r="D212" s="2" t="s">
        <v>348</v>
      </c>
      <c r="E212" s="2" t="s">
        <v>349</v>
      </c>
      <c r="F212" s="3">
        <v>46087.379748761574</v>
      </c>
      <c r="G212" s="2" t="s">
        <v>362</v>
      </c>
      <c r="H212" s="2" t="s">
        <v>363</v>
      </c>
      <c r="I212" s="2" t="s">
        <v>364</v>
      </c>
      <c r="J212" s="3" t="s">
        <v>95</v>
      </c>
      <c r="K212" s="2" t="s">
        <v>353</v>
      </c>
      <c r="L212" s="2"/>
      <c r="M212" s="2" t="s">
        <v>354</v>
      </c>
      <c r="N212" s="2">
        <v>-12833</v>
      </c>
      <c r="P212" s="2" t="s">
        <v>365</v>
      </c>
      <c r="Q212" s="2" t="s">
        <v>366</v>
      </c>
    </row>
    <row r="213" spans="1:17" x14ac:dyDescent="0.2">
      <c r="A213" s="2" t="s">
        <v>346</v>
      </c>
      <c r="B213" s="2" t="s">
        <v>347</v>
      </c>
      <c r="D213" s="2" t="s">
        <v>348</v>
      </c>
      <c r="E213" s="2" t="s">
        <v>349</v>
      </c>
      <c r="F213" s="3">
        <v>46087.379876666666</v>
      </c>
      <c r="G213" s="2" t="s">
        <v>362</v>
      </c>
      <c r="H213" s="2" t="s">
        <v>363</v>
      </c>
      <c r="I213" s="2" t="s">
        <v>364</v>
      </c>
      <c r="J213" s="3" t="s">
        <v>95</v>
      </c>
      <c r="K213" s="2" t="s">
        <v>353</v>
      </c>
      <c r="L213" s="2"/>
      <c r="M213" s="2" t="s">
        <v>354</v>
      </c>
      <c r="N213" s="2">
        <v>17968</v>
      </c>
      <c r="P213" s="2" t="s">
        <v>365</v>
      </c>
      <c r="Q213" s="2" t="s">
        <v>366</v>
      </c>
    </row>
    <row r="214" spans="1:17" x14ac:dyDescent="0.2">
      <c r="A214" s="2" t="s">
        <v>346</v>
      </c>
      <c r="B214" s="2" t="s">
        <v>347</v>
      </c>
      <c r="D214" s="2" t="s">
        <v>348</v>
      </c>
      <c r="E214" s="2" t="s">
        <v>349</v>
      </c>
      <c r="F214" s="3">
        <v>46087.379981238424</v>
      </c>
      <c r="G214" s="2" t="s">
        <v>362</v>
      </c>
      <c r="H214" s="2" t="s">
        <v>363</v>
      </c>
      <c r="I214" s="2" t="s">
        <v>364</v>
      </c>
      <c r="J214" s="3" t="s">
        <v>95</v>
      </c>
      <c r="K214" s="2" t="s">
        <v>353</v>
      </c>
      <c r="L214" s="2"/>
      <c r="M214" s="2" t="s">
        <v>354</v>
      </c>
      <c r="N214" s="2">
        <v>-17751</v>
      </c>
      <c r="P214" s="2" t="s">
        <v>365</v>
      </c>
      <c r="Q214" s="2" t="s">
        <v>366</v>
      </c>
    </row>
    <row r="215" spans="1:17" x14ac:dyDescent="0.2">
      <c r="A215" s="2" t="s">
        <v>346</v>
      </c>
      <c r="B215" s="2" t="s">
        <v>347</v>
      </c>
      <c r="D215" s="2" t="s">
        <v>348</v>
      </c>
      <c r="E215" s="2" t="s">
        <v>349</v>
      </c>
      <c r="F215" s="3">
        <v>46087.380155439816</v>
      </c>
      <c r="G215" s="2" t="s">
        <v>362</v>
      </c>
      <c r="H215" s="2" t="s">
        <v>363</v>
      </c>
      <c r="I215" s="2" t="s">
        <v>364</v>
      </c>
      <c r="J215" s="3" t="s">
        <v>95</v>
      </c>
      <c r="K215" s="2" t="s">
        <v>353</v>
      </c>
      <c r="L215" s="2"/>
      <c r="M215" s="2" t="s">
        <v>354</v>
      </c>
      <c r="N215" s="2">
        <v>26788</v>
      </c>
      <c r="P215" s="2" t="s">
        <v>365</v>
      </c>
      <c r="Q215" s="2" t="s">
        <v>366</v>
      </c>
    </row>
    <row r="216" spans="1:17" x14ac:dyDescent="0.2">
      <c r="A216" s="2" t="s">
        <v>346</v>
      </c>
      <c r="B216" s="2" t="s">
        <v>347</v>
      </c>
      <c r="D216" s="2" t="s">
        <v>348</v>
      </c>
      <c r="E216" s="2" t="s">
        <v>349</v>
      </c>
      <c r="F216" s="3">
        <v>46087.380190335651</v>
      </c>
      <c r="G216" s="2" t="s">
        <v>362</v>
      </c>
      <c r="H216" s="2" t="s">
        <v>363</v>
      </c>
      <c r="I216" s="2" t="s">
        <v>364</v>
      </c>
      <c r="J216" s="3" t="s">
        <v>95</v>
      </c>
      <c r="K216" s="2" t="s">
        <v>353</v>
      </c>
      <c r="L216" s="2"/>
      <c r="M216" s="2" t="s">
        <v>354</v>
      </c>
      <c r="N216" s="2">
        <v>-4344</v>
      </c>
      <c r="P216" s="2" t="s">
        <v>365</v>
      </c>
      <c r="Q216" s="2" t="s">
        <v>366</v>
      </c>
    </row>
    <row r="217" spans="1:17" x14ac:dyDescent="0.2">
      <c r="A217" s="2" t="s">
        <v>346</v>
      </c>
      <c r="B217" s="2" t="s">
        <v>347</v>
      </c>
      <c r="D217" s="2" t="s">
        <v>348</v>
      </c>
      <c r="E217" s="2" t="s">
        <v>349</v>
      </c>
      <c r="F217" s="3">
        <v>46087.380503877313</v>
      </c>
      <c r="G217" s="2" t="s">
        <v>362</v>
      </c>
      <c r="H217" s="2" t="s">
        <v>363</v>
      </c>
      <c r="I217" s="2" t="s">
        <v>364</v>
      </c>
      <c r="J217" s="3" t="s">
        <v>95</v>
      </c>
      <c r="K217" s="2" t="s">
        <v>353</v>
      </c>
      <c r="L217" s="2"/>
      <c r="M217" s="2" t="s">
        <v>354</v>
      </c>
      <c r="N217" s="2">
        <v>-25725</v>
      </c>
      <c r="P217" s="2" t="s">
        <v>365</v>
      </c>
      <c r="Q217" s="2" t="s">
        <v>366</v>
      </c>
    </row>
    <row r="218" spans="1:17" x14ac:dyDescent="0.2">
      <c r="A218" s="2" t="s">
        <v>346</v>
      </c>
      <c r="B218" s="2" t="s">
        <v>347</v>
      </c>
      <c r="D218" s="2" t="s">
        <v>348</v>
      </c>
      <c r="E218" s="2" t="s">
        <v>349</v>
      </c>
      <c r="F218" s="3">
        <v>46087.380596828705</v>
      </c>
      <c r="G218" s="2" t="s">
        <v>362</v>
      </c>
      <c r="H218" s="2" t="s">
        <v>363</v>
      </c>
      <c r="I218" s="2" t="s">
        <v>364</v>
      </c>
      <c r="J218" s="3" t="s">
        <v>95</v>
      </c>
      <c r="K218" s="2" t="s">
        <v>353</v>
      </c>
      <c r="L218" s="2"/>
      <c r="M218" s="2" t="s">
        <v>354</v>
      </c>
      <c r="N218" s="2">
        <v>8772</v>
      </c>
      <c r="P218" s="2" t="s">
        <v>365</v>
      </c>
      <c r="Q218" s="2" t="s">
        <v>366</v>
      </c>
    </row>
    <row r="219" spans="1:17" x14ac:dyDescent="0.2">
      <c r="A219" s="2" t="s">
        <v>346</v>
      </c>
      <c r="B219" s="2" t="s">
        <v>347</v>
      </c>
      <c r="D219" s="2" t="s">
        <v>348</v>
      </c>
      <c r="E219" s="2" t="s">
        <v>349</v>
      </c>
      <c r="F219" s="3">
        <v>46087.38314416667</v>
      </c>
      <c r="G219" s="2" t="s">
        <v>362</v>
      </c>
      <c r="H219" s="2" t="s">
        <v>363</v>
      </c>
      <c r="I219" s="2" t="s">
        <v>364</v>
      </c>
      <c r="J219" s="3" t="s">
        <v>95</v>
      </c>
      <c r="K219" s="2" t="s">
        <v>353</v>
      </c>
      <c r="L219" s="2"/>
      <c r="M219" s="2" t="s">
        <v>354</v>
      </c>
      <c r="N219" s="2">
        <v>14235</v>
      </c>
      <c r="P219" s="2" t="s">
        <v>365</v>
      </c>
      <c r="Q219" s="2" t="s">
        <v>366</v>
      </c>
    </row>
    <row r="220" spans="1:17" x14ac:dyDescent="0.2">
      <c r="A220" s="2" t="s">
        <v>346</v>
      </c>
      <c r="B220" s="2" t="s">
        <v>347</v>
      </c>
      <c r="D220" s="2" t="s">
        <v>348</v>
      </c>
      <c r="E220" s="2" t="s">
        <v>349</v>
      </c>
      <c r="F220" s="3">
        <v>46087.38335340278</v>
      </c>
      <c r="G220" s="2" t="s">
        <v>362</v>
      </c>
      <c r="H220" s="2" t="s">
        <v>363</v>
      </c>
      <c r="I220" s="2" t="s">
        <v>364</v>
      </c>
      <c r="J220" s="3" t="s">
        <v>95</v>
      </c>
      <c r="K220" s="2" t="s">
        <v>353</v>
      </c>
      <c r="L220" s="2"/>
      <c r="M220" s="2" t="s">
        <v>354</v>
      </c>
      <c r="N220" s="2">
        <v>-2024</v>
      </c>
      <c r="P220" s="2" t="s">
        <v>365</v>
      </c>
      <c r="Q220" s="2" t="s">
        <v>366</v>
      </c>
    </row>
    <row r="221" spans="1:17" x14ac:dyDescent="0.2">
      <c r="A221" s="2" t="s">
        <v>346</v>
      </c>
      <c r="B221" s="2" t="s">
        <v>347</v>
      </c>
      <c r="D221" s="2" t="s">
        <v>348</v>
      </c>
      <c r="E221" s="2" t="s">
        <v>349</v>
      </c>
      <c r="F221" s="3">
        <v>46087.383376736114</v>
      </c>
      <c r="G221" s="2" t="s">
        <v>362</v>
      </c>
      <c r="H221" s="2" t="s">
        <v>363</v>
      </c>
      <c r="I221" s="2" t="s">
        <v>364</v>
      </c>
      <c r="J221" s="3" t="s">
        <v>95</v>
      </c>
      <c r="K221" s="2" t="s">
        <v>353</v>
      </c>
      <c r="L221" s="2"/>
      <c r="M221" s="2" t="s">
        <v>354</v>
      </c>
      <c r="N221" s="2">
        <v>-44464</v>
      </c>
      <c r="P221" s="2" t="s">
        <v>365</v>
      </c>
      <c r="Q221" s="2" t="s">
        <v>366</v>
      </c>
    </row>
    <row r="222" spans="1:17" x14ac:dyDescent="0.2">
      <c r="A222" s="2" t="s">
        <v>346</v>
      </c>
      <c r="B222" s="2" t="s">
        <v>347</v>
      </c>
      <c r="D222" s="2" t="s">
        <v>348</v>
      </c>
      <c r="E222" s="2" t="s">
        <v>349</v>
      </c>
      <c r="F222" s="3">
        <v>46087.383411550923</v>
      </c>
      <c r="G222" s="2" t="s">
        <v>362</v>
      </c>
      <c r="H222" s="2" t="s">
        <v>363</v>
      </c>
      <c r="I222" s="2" t="s">
        <v>364</v>
      </c>
      <c r="J222" s="3" t="s">
        <v>95</v>
      </c>
      <c r="K222" s="2" t="s">
        <v>353</v>
      </c>
      <c r="L222" s="2"/>
      <c r="M222" s="2" t="s">
        <v>354</v>
      </c>
      <c r="N222" s="2">
        <v>-9250</v>
      </c>
      <c r="P222" s="2" t="s">
        <v>365</v>
      </c>
      <c r="Q222" s="2" t="s">
        <v>366</v>
      </c>
    </row>
    <row r="223" spans="1:17" x14ac:dyDescent="0.2">
      <c r="A223" s="2" t="s">
        <v>346</v>
      </c>
      <c r="B223" s="2" t="s">
        <v>347</v>
      </c>
      <c r="D223" s="2" t="s">
        <v>348</v>
      </c>
      <c r="E223" s="2" t="s">
        <v>349</v>
      </c>
      <c r="F223" s="3">
        <v>46087.383795081019</v>
      </c>
      <c r="G223" s="2" t="s">
        <v>362</v>
      </c>
      <c r="H223" s="2" t="s">
        <v>363</v>
      </c>
      <c r="I223" s="2" t="s">
        <v>364</v>
      </c>
      <c r="J223" s="3" t="s">
        <v>95</v>
      </c>
      <c r="K223" s="2" t="s">
        <v>353</v>
      </c>
      <c r="L223" s="2"/>
      <c r="M223" s="2" t="s">
        <v>354</v>
      </c>
      <c r="N223" s="2">
        <v>-6992</v>
      </c>
      <c r="P223" s="2" t="s">
        <v>365</v>
      </c>
      <c r="Q223" s="2" t="s">
        <v>366</v>
      </c>
    </row>
    <row r="224" spans="1:17" x14ac:dyDescent="0.2">
      <c r="A224" s="2" t="s">
        <v>346</v>
      </c>
      <c r="B224" s="2" t="s">
        <v>347</v>
      </c>
      <c r="D224" s="2" t="s">
        <v>348</v>
      </c>
      <c r="E224" s="2" t="s">
        <v>349</v>
      </c>
      <c r="F224" s="3">
        <v>46087.383899699074</v>
      </c>
      <c r="G224" s="2" t="s">
        <v>362</v>
      </c>
      <c r="H224" s="2" t="s">
        <v>363</v>
      </c>
      <c r="I224" s="2" t="s">
        <v>364</v>
      </c>
      <c r="J224" s="3" t="s">
        <v>95</v>
      </c>
      <c r="K224" s="2" t="s">
        <v>353</v>
      </c>
      <c r="L224" s="2"/>
      <c r="M224" s="2" t="s">
        <v>354</v>
      </c>
      <c r="N224" s="2">
        <v>44583</v>
      </c>
      <c r="P224" s="2" t="s">
        <v>365</v>
      </c>
      <c r="Q224" s="2" t="s">
        <v>366</v>
      </c>
    </row>
    <row r="225" spans="1:17" x14ac:dyDescent="0.2">
      <c r="A225" s="2" t="s">
        <v>346</v>
      </c>
      <c r="B225" s="2" t="s">
        <v>347</v>
      </c>
      <c r="D225" s="2" t="s">
        <v>348</v>
      </c>
      <c r="E225" s="2" t="s">
        <v>349</v>
      </c>
      <c r="F225" s="3">
        <v>46087.383922928238</v>
      </c>
      <c r="G225" s="2" t="s">
        <v>362</v>
      </c>
      <c r="H225" s="2" t="s">
        <v>363</v>
      </c>
      <c r="I225" s="2" t="s">
        <v>364</v>
      </c>
      <c r="J225" s="3" t="s">
        <v>95</v>
      </c>
      <c r="K225" s="2" t="s">
        <v>353</v>
      </c>
      <c r="L225" s="2"/>
      <c r="M225" s="2" t="s">
        <v>354</v>
      </c>
      <c r="N225" s="2">
        <v>44460</v>
      </c>
      <c r="P225" s="2" t="s">
        <v>365</v>
      </c>
      <c r="Q225" s="2" t="s">
        <v>366</v>
      </c>
    </row>
    <row r="226" spans="1:17" x14ac:dyDescent="0.2">
      <c r="A226" s="2" t="s">
        <v>346</v>
      </c>
      <c r="B226" s="2" t="s">
        <v>347</v>
      </c>
      <c r="D226" s="2" t="s">
        <v>348</v>
      </c>
      <c r="E226" s="2" t="s">
        <v>349</v>
      </c>
      <c r="F226" s="3">
        <v>46087.383934594909</v>
      </c>
      <c r="G226" s="2" t="s">
        <v>362</v>
      </c>
      <c r="H226" s="2" t="s">
        <v>363</v>
      </c>
      <c r="I226" s="2" t="s">
        <v>364</v>
      </c>
      <c r="J226" s="3" t="s">
        <v>95</v>
      </c>
      <c r="K226" s="2" t="s">
        <v>353</v>
      </c>
      <c r="L226" s="2"/>
      <c r="M226" s="2" t="s">
        <v>354</v>
      </c>
      <c r="N226" s="2">
        <v>-8987</v>
      </c>
      <c r="P226" s="2" t="s">
        <v>365</v>
      </c>
      <c r="Q226" s="2" t="s">
        <v>366</v>
      </c>
    </row>
    <row r="227" spans="1:17" x14ac:dyDescent="0.2">
      <c r="A227" s="2" t="s">
        <v>346</v>
      </c>
      <c r="B227" s="2" t="s">
        <v>347</v>
      </c>
      <c r="D227" s="2" t="s">
        <v>348</v>
      </c>
      <c r="E227" s="2" t="s">
        <v>349</v>
      </c>
      <c r="F227" s="3">
        <v>46087.384436215281</v>
      </c>
      <c r="G227" s="2" t="s">
        <v>362</v>
      </c>
      <c r="H227" s="2" t="s">
        <v>363</v>
      </c>
      <c r="I227" s="2" t="s">
        <v>364</v>
      </c>
      <c r="J227" s="3" t="s">
        <v>95</v>
      </c>
      <c r="K227" s="2" t="s">
        <v>353</v>
      </c>
      <c r="L227" s="2"/>
      <c r="M227" s="2" t="s">
        <v>354</v>
      </c>
      <c r="N227" s="2">
        <v>13505</v>
      </c>
      <c r="P227" s="2" t="s">
        <v>365</v>
      </c>
      <c r="Q227" s="2" t="s">
        <v>366</v>
      </c>
    </row>
    <row r="228" spans="1:17" x14ac:dyDescent="0.2">
      <c r="A228" s="2" t="s">
        <v>346</v>
      </c>
      <c r="B228" s="2" t="s">
        <v>347</v>
      </c>
      <c r="D228" s="2" t="s">
        <v>348</v>
      </c>
      <c r="E228" s="2" t="s">
        <v>349</v>
      </c>
      <c r="F228" s="3">
        <v>46087.384564525462</v>
      </c>
      <c r="G228" s="2" t="s">
        <v>362</v>
      </c>
      <c r="H228" s="2" t="s">
        <v>363</v>
      </c>
      <c r="I228" s="2" t="s">
        <v>364</v>
      </c>
      <c r="J228" s="3" t="s">
        <v>95</v>
      </c>
      <c r="K228" s="2" t="s">
        <v>353</v>
      </c>
      <c r="L228" s="2"/>
      <c r="M228" s="2" t="s">
        <v>354</v>
      </c>
      <c r="N228" s="2">
        <v>-40959</v>
      </c>
      <c r="P228" s="2" t="s">
        <v>365</v>
      </c>
      <c r="Q228" s="2" t="s">
        <v>366</v>
      </c>
    </row>
    <row r="229" spans="1:17" x14ac:dyDescent="0.2">
      <c r="A229" s="2" t="s">
        <v>346</v>
      </c>
      <c r="B229" s="2" t="s">
        <v>347</v>
      </c>
      <c r="D229" s="2" t="s">
        <v>348</v>
      </c>
      <c r="E229" s="2" t="s">
        <v>349</v>
      </c>
      <c r="F229" s="3">
        <v>46087.384692430554</v>
      </c>
      <c r="G229" s="2" t="s">
        <v>362</v>
      </c>
      <c r="H229" s="2" t="s">
        <v>363</v>
      </c>
      <c r="I229" s="2" t="s">
        <v>364</v>
      </c>
      <c r="J229" s="3" t="s">
        <v>95</v>
      </c>
      <c r="K229" s="2" t="s">
        <v>353</v>
      </c>
      <c r="L229" s="2"/>
      <c r="M229" s="2" t="s">
        <v>354</v>
      </c>
      <c r="N229" s="2">
        <v>6063</v>
      </c>
      <c r="P229" s="2" t="s">
        <v>365</v>
      </c>
      <c r="Q229" s="2" t="s">
        <v>366</v>
      </c>
    </row>
    <row r="230" spans="1:17" x14ac:dyDescent="0.2">
      <c r="A230" s="2" t="s">
        <v>346</v>
      </c>
      <c r="B230" s="2" t="s">
        <v>347</v>
      </c>
      <c r="D230" s="2" t="s">
        <v>348</v>
      </c>
      <c r="E230" s="2" t="s">
        <v>349</v>
      </c>
      <c r="F230" s="3">
        <v>46087.384866805558</v>
      </c>
      <c r="G230" s="2" t="s">
        <v>362</v>
      </c>
      <c r="H230" s="2" t="s">
        <v>363</v>
      </c>
      <c r="I230" s="2" t="s">
        <v>364</v>
      </c>
      <c r="J230" s="3" t="s">
        <v>95</v>
      </c>
      <c r="K230" s="2" t="s">
        <v>353</v>
      </c>
      <c r="L230" s="2"/>
      <c r="M230" s="2" t="s">
        <v>354</v>
      </c>
      <c r="N230" s="2">
        <v>-43036</v>
      </c>
      <c r="P230" s="2" t="s">
        <v>365</v>
      </c>
      <c r="Q230" s="2" t="s">
        <v>366</v>
      </c>
    </row>
    <row r="231" spans="1:17" x14ac:dyDescent="0.2">
      <c r="A231" s="2" t="s">
        <v>346</v>
      </c>
      <c r="B231" s="2" t="s">
        <v>347</v>
      </c>
      <c r="D231" s="2" t="s">
        <v>348</v>
      </c>
      <c r="E231" s="2" t="s">
        <v>349</v>
      </c>
      <c r="F231" s="3">
        <v>46087.384924861108</v>
      </c>
      <c r="G231" s="2" t="s">
        <v>362</v>
      </c>
      <c r="H231" s="2" t="s">
        <v>363</v>
      </c>
      <c r="I231" s="2" t="s">
        <v>364</v>
      </c>
      <c r="J231" s="3" t="s">
        <v>95</v>
      </c>
      <c r="K231" s="2" t="s">
        <v>353</v>
      </c>
      <c r="L231" s="2"/>
      <c r="M231" s="2" t="s">
        <v>354</v>
      </c>
      <c r="N231" s="2">
        <v>0</v>
      </c>
      <c r="P231" s="2" t="s">
        <v>365</v>
      </c>
      <c r="Q231" s="2" t="s">
        <v>366</v>
      </c>
    </row>
    <row r="232" spans="1:17" x14ac:dyDescent="0.2">
      <c r="A232" s="2" t="s">
        <v>346</v>
      </c>
      <c r="B232" s="2" t="s">
        <v>347</v>
      </c>
      <c r="D232" s="2" t="s">
        <v>348</v>
      </c>
      <c r="E232" s="2" t="s">
        <v>349</v>
      </c>
      <c r="F232" s="3">
        <v>46087.38516917824</v>
      </c>
      <c r="G232" s="2" t="s">
        <v>362</v>
      </c>
      <c r="H232" s="2" t="s">
        <v>363</v>
      </c>
      <c r="I232" s="2" t="s">
        <v>364</v>
      </c>
      <c r="J232" s="3" t="s">
        <v>95</v>
      </c>
      <c r="K232" s="2" t="s">
        <v>353</v>
      </c>
      <c r="L232" s="2"/>
      <c r="M232" s="2" t="s">
        <v>354</v>
      </c>
      <c r="N232" s="2">
        <v>-36132</v>
      </c>
      <c r="P232" s="2" t="s">
        <v>365</v>
      </c>
      <c r="Q232" s="2" t="s">
        <v>366</v>
      </c>
    </row>
    <row r="233" spans="1:17" x14ac:dyDescent="0.2">
      <c r="A233" s="2" t="s">
        <v>346</v>
      </c>
      <c r="B233" s="2" t="s">
        <v>347</v>
      </c>
      <c r="D233" s="2" t="s">
        <v>348</v>
      </c>
      <c r="E233" s="2" t="s">
        <v>349</v>
      </c>
      <c r="F233" s="3">
        <v>46087.385331759258</v>
      </c>
      <c r="G233" s="2" t="s">
        <v>362</v>
      </c>
      <c r="H233" s="2" t="s">
        <v>363</v>
      </c>
      <c r="I233" s="2" t="s">
        <v>364</v>
      </c>
      <c r="J233" s="3" t="s">
        <v>95</v>
      </c>
      <c r="K233" s="2" t="s">
        <v>353</v>
      </c>
      <c r="L233" s="2"/>
      <c r="M233" s="2" t="s">
        <v>354</v>
      </c>
      <c r="N233" s="2">
        <v>7176</v>
      </c>
      <c r="P233" s="2" t="s">
        <v>365</v>
      </c>
      <c r="Q233" s="2" t="s">
        <v>366</v>
      </c>
    </row>
    <row r="234" spans="1:17" x14ac:dyDescent="0.2">
      <c r="A234" s="2" t="s">
        <v>346</v>
      </c>
      <c r="B234" s="2" t="s">
        <v>347</v>
      </c>
      <c r="D234" s="2" t="s">
        <v>348</v>
      </c>
      <c r="E234" s="2" t="s">
        <v>349</v>
      </c>
      <c r="F234" s="3">
        <v>46087.385610798614</v>
      </c>
      <c r="G234" s="2" t="s">
        <v>362</v>
      </c>
      <c r="H234" s="2" t="s">
        <v>363</v>
      </c>
      <c r="I234" s="2" t="s">
        <v>364</v>
      </c>
      <c r="J234" s="3" t="s">
        <v>95</v>
      </c>
      <c r="K234" s="2" t="s">
        <v>353</v>
      </c>
      <c r="L234" s="2"/>
      <c r="M234" s="2" t="s">
        <v>354</v>
      </c>
      <c r="N234" s="2">
        <v>-34175</v>
      </c>
      <c r="P234" s="2" t="s">
        <v>365</v>
      </c>
      <c r="Q234" s="2" t="s">
        <v>366</v>
      </c>
    </row>
    <row r="235" spans="1:17" x14ac:dyDescent="0.2">
      <c r="A235" s="2" t="s">
        <v>346</v>
      </c>
      <c r="B235" s="2" t="s">
        <v>347</v>
      </c>
      <c r="D235" s="2" t="s">
        <v>348</v>
      </c>
      <c r="E235" s="2" t="s">
        <v>349</v>
      </c>
      <c r="F235" s="3">
        <v>46087.385738530094</v>
      </c>
      <c r="G235" s="2" t="s">
        <v>362</v>
      </c>
      <c r="H235" s="2" t="s">
        <v>363</v>
      </c>
      <c r="I235" s="2" t="s">
        <v>364</v>
      </c>
      <c r="J235" s="3" t="s">
        <v>95</v>
      </c>
      <c r="K235" s="2" t="s">
        <v>353</v>
      </c>
      <c r="L235" s="2"/>
      <c r="M235" s="2" t="s">
        <v>354</v>
      </c>
      <c r="N235" s="2">
        <v>-2220</v>
      </c>
      <c r="P235" s="2" t="s">
        <v>365</v>
      </c>
      <c r="Q235" s="2" t="s">
        <v>366</v>
      </c>
    </row>
    <row r="236" spans="1:17" x14ac:dyDescent="0.2">
      <c r="A236" s="2" t="s">
        <v>346</v>
      </c>
      <c r="B236" s="2" t="s">
        <v>347</v>
      </c>
      <c r="D236" s="2" t="s">
        <v>348</v>
      </c>
      <c r="E236" s="2" t="s">
        <v>349</v>
      </c>
      <c r="F236" s="3">
        <v>46087.385808333333</v>
      </c>
      <c r="G236" s="2" t="s">
        <v>362</v>
      </c>
      <c r="H236" s="2" t="s">
        <v>363</v>
      </c>
      <c r="I236" s="2" t="s">
        <v>364</v>
      </c>
      <c r="J236" s="3" t="s">
        <v>95</v>
      </c>
      <c r="K236" s="2" t="s">
        <v>353</v>
      </c>
      <c r="L236" s="2"/>
      <c r="M236" s="2" t="s">
        <v>354</v>
      </c>
      <c r="N236" s="2">
        <v>-38213</v>
      </c>
      <c r="P236" s="2" t="s">
        <v>365</v>
      </c>
      <c r="Q236" s="2" t="s">
        <v>366</v>
      </c>
    </row>
    <row r="237" spans="1:17" x14ac:dyDescent="0.2">
      <c r="A237" s="2" t="s">
        <v>346</v>
      </c>
      <c r="B237" s="2" t="s">
        <v>347</v>
      </c>
      <c r="D237" s="2" t="s">
        <v>348</v>
      </c>
      <c r="E237" s="2" t="s">
        <v>349</v>
      </c>
      <c r="F237" s="3">
        <v>46087.385819907409</v>
      </c>
      <c r="G237" s="2" t="s">
        <v>362</v>
      </c>
      <c r="H237" s="2" t="s">
        <v>363</v>
      </c>
      <c r="I237" s="2" t="s">
        <v>364</v>
      </c>
      <c r="J237" s="3" t="s">
        <v>95</v>
      </c>
      <c r="K237" s="2" t="s">
        <v>353</v>
      </c>
      <c r="L237" s="2"/>
      <c r="M237" s="2" t="s">
        <v>354</v>
      </c>
      <c r="N237" s="2">
        <v>-4862</v>
      </c>
      <c r="P237" s="2" t="s">
        <v>365</v>
      </c>
      <c r="Q237" s="2" t="s">
        <v>366</v>
      </c>
    </row>
    <row r="238" spans="1:17" x14ac:dyDescent="0.2">
      <c r="A238" s="2" t="s">
        <v>346</v>
      </c>
      <c r="B238" s="2" t="s">
        <v>347</v>
      </c>
      <c r="D238" s="2" t="s">
        <v>348</v>
      </c>
      <c r="E238" s="2" t="s">
        <v>349</v>
      </c>
      <c r="F238" s="3">
        <v>46087.386029236113</v>
      </c>
      <c r="G238" s="2" t="s">
        <v>362</v>
      </c>
      <c r="H238" s="2" t="s">
        <v>363</v>
      </c>
      <c r="I238" s="2" t="s">
        <v>364</v>
      </c>
      <c r="J238" s="3" t="s">
        <v>95</v>
      </c>
      <c r="K238" s="2" t="s">
        <v>353</v>
      </c>
      <c r="L238" s="2"/>
      <c r="M238" s="2" t="s">
        <v>354</v>
      </c>
      <c r="N238" s="2">
        <v>-7410</v>
      </c>
      <c r="P238" s="2" t="s">
        <v>365</v>
      </c>
      <c r="Q238" s="2" t="s">
        <v>366</v>
      </c>
    </row>
    <row r="239" spans="1:17" x14ac:dyDescent="0.2">
      <c r="A239" s="2" t="s">
        <v>346</v>
      </c>
      <c r="B239" s="2" t="s">
        <v>347</v>
      </c>
      <c r="D239" s="2" t="s">
        <v>348</v>
      </c>
      <c r="E239" s="2" t="s">
        <v>349</v>
      </c>
      <c r="F239" s="3">
        <v>46087.38604085648</v>
      </c>
      <c r="G239" s="2" t="s">
        <v>362</v>
      </c>
      <c r="H239" s="2" t="s">
        <v>363</v>
      </c>
      <c r="I239" s="2" t="s">
        <v>364</v>
      </c>
      <c r="J239" s="3" t="s">
        <v>95</v>
      </c>
      <c r="K239" s="2" t="s">
        <v>353</v>
      </c>
      <c r="L239" s="2"/>
      <c r="M239" s="2" t="s">
        <v>354</v>
      </c>
      <c r="N239" s="2">
        <v>-34271</v>
      </c>
      <c r="P239" s="2" t="s">
        <v>365</v>
      </c>
      <c r="Q239" s="2" t="s">
        <v>366</v>
      </c>
    </row>
    <row r="240" spans="1:17" x14ac:dyDescent="0.2">
      <c r="A240" s="2" t="s">
        <v>346</v>
      </c>
      <c r="B240" s="2" t="s">
        <v>347</v>
      </c>
      <c r="D240" s="2" t="s">
        <v>348</v>
      </c>
      <c r="E240" s="2" t="s">
        <v>349</v>
      </c>
      <c r="F240" s="3">
        <v>46087.386273599535</v>
      </c>
      <c r="G240" s="2" t="s">
        <v>362</v>
      </c>
      <c r="H240" s="2" t="s">
        <v>363</v>
      </c>
      <c r="I240" s="2" t="s">
        <v>364</v>
      </c>
      <c r="J240" s="3" t="s">
        <v>95</v>
      </c>
      <c r="K240" s="2" t="s">
        <v>353</v>
      </c>
      <c r="L240" s="2"/>
      <c r="M240" s="2" t="s">
        <v>354</v>
      </c>
      <c r="N240" s="2">
        <v>5372</v>
      </c>
      <c r="P240" s="2" t="s">
        <v>365</v>
      </c>
      <c r="Q240" s="2" t="s">
        <v>366</v>
      </c>
    </row>
    <row r="241" spans="1:17" x14ac:dyDescent="0.2">
      <c r="A241" s="2" t="s">
        <v>346</v>
      </c>
      <c r="B241" s="2" t="s">
        <v>347</v>
      </c>
      <c r="D241" s="2" t="s">
        <v>348</v>
      </c>
      <c r="E241" s="2" t="s">
        <v>349</v>
      </c>
      <c r="F241" s="3">
        <v>46087.386319988429</v>
      </c>
      <c r="G241" s="2" t="s">
        <v>362</v>
      </c>
      <c r="H241" s="2" t="s">
        <v>363</v>
      </c>
      <c r="I241" s="2" t="s">
        <v>364</v>
      </c>
      <c r="J241" s="3" t="s">
        <v>95</v>
      </c>
      <c r="K241" s="2" t="s">
        <v>353</v>
      </c>
      <c r="L241" s="2"/>
      <c r="M241" s="2" t="s">
        <v>354</v>
      </c>
      <c r="N241" s="2">
        <v>-31677</v>
      </c>
      <c r="P241" s="2" t="s">
        <v>365</v>
      </c>
      <c r="Q241" s="2" t="s">
        <v>366</v>
      </c>
    </row>
    <row r="242" spans="1:17" x14ac:dyDescent="0.2">
      <c r="A242" s="2" t="s">
        <v>346</v>
      </c>
      <c r="B242" s="2" t="s">
        <v>347</v>
      </c>
      <c r="D242" s="2" t="s">
        <v>348</v>
      </c>
      <c r="E242" s="2" t="s">
        <v>349</v>
      </c>
      <c r="F242" s="3">
        <v>46087.386401770833</v>
      </c>
      <c r="G242" s="2" t="s">
        <v>362</v>
      </c>
      <c r="H242" s="2" t="s">
        <v>363</v>
      </c>
      <c r="I242" s="2" t="s">
        <v>364</v>
      </c>
      <c r="J242" s="3" t="s">
        <v>95</v>
      </c>
      <c r="K242" s="2" t="s">
        <v>353</v>
      </c>
      <c r="L242" s="2"/>
      <c r="M242" s="2" t="s">
        <v>354</v>
      </c>
      <c r="N242" s="2">
        <v>-7605</v>
      </c>
      <c r="P242" s="2" t="s">
        <v>365</v>
      </c>
      <c r="Q242" s="2" t="s">
        <v>366</v>
      </c>
    </row>
    <row r="243" spans="1:17" x14ac:dyDescent="0.2">
      <c r="A243" s="2" t="s">
        <v>346</v>
      </c>
      <c r="B243" s="2" t="s">
        <v>347</v>
      </c>
      <c r="D243" s="2" t="s">
        <v>348</v>
      </c>
      <c r="E243" s="2" t="s">
        <v>349</v>
      </c>
      <c r="F243" s="3">
        <v>46087.386436817127</v>
      </c>
      <c r="G243" s="2" t="s">
        <v>362</v>
      </c>
      <c r="H243" s="2" t="s">
        <v>363</v>
      </c>
      <c r="I243" s="2" t="s">
        <v>364</v>
      </c>
      <c r="J243" s="3" t="s">
        <v>95</v>
      </c>
      <c r="K243" s="2" t="s">
        <v>353</v>
      </c>
      <c r="L243" s="2"/>
      <c r="M243" s="2" t="s">
        <v>354</v>
      </c>
      <c r="N243" s="2">
        <v>-38011</v>
      </c>
      <c r="P243" s="2" t="s">
        <v>365</v>
      </c>
      <c r="Q243" s="2" t="s">
        <v>366</v>
      </c>
    </row>
    <row r="244" spans="1:17" x14ac:dyDescent="0.2">
      <c r="A244" s="2" t="s">
        <v>346</v>
      </c>
      <c r="B244" s="2" t="s">
        <v>347</v>
      </c>
      <c r="D244" s="2" t="s">
        <v>348</v>
      </c>
      <c r="E244" s="2" t="s">
        <v>349</v>
      </c>
      <c r="F244" s="3">
        <v>46087.386483333335</v>
      </c>
      <c r="G244" s="2" t="s">
        <v>362</v>
      </c>
      <c r="H244" s="2" t="s">
        <v>363</v>
      </c>
      <c r="I244" s="2" t="s">
        <v>364</v>
      </c>
      <c r="J244" s="3" t="s">
        <v>95</v>
      </c>
      <c r="K244" s="2" t="s">
        <v>353</v>
      </c>
      <c r="L244" s="2"/>
      <c r="M244" s="2" t="s">
        <v>354</v>
      </c>
      <c r="N244" s="2">
        <v>-1486</v>
      </c>
      <c r="P244" s="2" t="s">
        <v>365</v>
      </c>
      <c r="Q244" s="2" t="s">
        <v>366</v>
      </c>
    </row>
    <row r="245" spans="1:17" x14ac:dyDescent="0.2">
      <c r="A245" s="2" t="s">
        <v>346</v>
      </c>
      <c r="B245" s="2" t="s">
        <v>347</v>
      </c>
      <c r="D245" s="2" t="s">
        <v>348</v>
      </c>
      <c r="E245" s="2" t="s">
        <v>349</v>
      </c>
      <c r="F245" s="3">
        <v>46087.386634525465</v>
      </c>
      <c r="G245" s="2" t="s">
        <v>362</v>
      </c>
      <c r="H245" s="2" t="s">
        <v>363</v>
      </c>
      <c r="I245" s="2" t="s">
        <v>364</v>
      </c>
      <c r="J245" s="3" t="s">
        <v>95</v>
      </c>
      <c r="K245" s="2" t="s">
        <v>353</v>
      </c>
      <c r="L245" s="2"/>
      <c r="M245" s="2" t="s">
        <v>354</v>
      </c>
      <c r="N245" s="2">
        <v>-42780</v>
      </c>
      <c r="P245" s="2" t="s">
        <v>365</v>
      </c>
      <c r="Q245" s="2" t="s">
        <v>366</v>
      </c>
    </row>
    <row r="246" spans="1:17" x14ac:dyDescent="0.2">
      <c r="A246" s="2" t="s">
        <v>346</v>
      </c>
      <c r="B246" s="2" t="s">
        <v>347</v>
      </c>
      <c r="D246" s="2" t="s">
        <v>348</v>
      </c>
      <c r="E246" s="2" t="s">
        <v>349</v>
      </c>
      <c r="F246" s="3">
        <v>46087.386704733799</v>
      </c>
      <c r="G246" s="2" t="s">
        <v>362</v>
      </c>
      <c r="H246" s="2" t="s">
        <v>363</v>
      </c>
      <c r="I246" s="2" t="s">
        <v>364</v>
      </c>
      <c r="J246" s="3" t="s">
        <v>95</v>
      </c>
      <c r="K246" s="2" t="s">
        <v>353</v>
      </c>
      <c r="L246" s="2"/>
      <c r="M246" s="2" t="s">
        <v>354</v>
      </c>
      <c r="N246" s="2">
        <v>928</v>
      </c>
      <c r="P246" s="2" t="s">
        <v>365</v>
      </c>
      <c r="Q246" s="2" t="s">
        <v>366</v>
      </c>
    </row>
    <row r="247" spans="1:17" x14ac:dyDescent="0.2">
      <c r="A247" s="2" t="s">
        <v>346</v>
      </c>
      <c r="B247" s="2" t="s">
        <v>347</v>
      </c>
      <c r="D247" s="2" t="s">
        <v>348</v>
      </c>
      <c r="E247" s="2" t="s">
        <v>349</v>
      </c>
      <c r="F247" s="3">
        <v>46087.386971666667</v>
      </c>
      <c r="G247" s="2" t="s">
        <v>362</v>
      </c>
      <c r="H247" s="2" t="s">
        <v>363</v>
      </c>
      <c r="I247" s="2" t="s">
        <v>364</v>
      </c>
      <c r="J247" s="3" t="s">
        <v>95</v>
      </c>
      <c r="K247" s="2" t="s">
        <v>353</v>
      </c>
      <c r="L247" s="2"/>
      <c r="M247" s="2" t="s">
        <v>354</v>
      </c>
      <c r="N247" s="2">
        <v>36085</v>
      </c>
      <c r="P247" s="2" t="s">
        <v>365</v>
      </c>
      <c r="Q247" s="2" t="s">
        <v>366</v>
      </c>
    </row>
    <row r="248" spans="1:17" x14ac:dyDescent="0.2">
      <c r="A248" s="2" t="s">
        <v>346</v>
      </c>
      <c r="B248" s="2" t="s">
        <v>347</v>
      </c>
      <c r="D248" s="2" t="s">
        <v>348</v>
      </c>
      <c r="E248" s="2" t="s">
        <v>349</v>
      </c>
      <c r="F248" s="3">
        <v>46087.387575868059</v>
      </c>
      <c r="G248" s="2" t="s">
        <v>362</v>
      </c>
      <c r="H248" s="2" t="s">
        <v>363</v>
      </c>
      <c r="I248" s="2" t="s">
        <v>364</v>
      </c>
      <c r="J248" s="3" t="s">
        <v>95</v>
      </c>
      <c r="K248" s="2" t="s">
        <v>353</v>
      </c>
      <c r="L248" s="2"/>
      <c r="M248" s="2" t="s">
        <v>354</v>
      </c>
      <c r="N248" s="2">
        <v>5808</v>
      </c>
      <c r="P248" s="2" t="s">
        <v>365</v>
      </c>
      <c r="Q248" s="2" t="s">
        <v>366</v>
      </c>
    </row>
    <row r="249" spans="1:17" x14ac:dyDescent="0.2">
      <c r="A249" s="2" t="s">
        <v>346</v>
      </c>
      <c r="B249" s="2" t="s">
        <v>347</v>
      </c>
      <c r="D249" s="2" t="s">
        <v>348</v>
      </c>
      <c r="E249" s="2" t="s">
        <v>349</v>
      </c>
      <c r="F249" s="3">
        <v>46087.387796539355</v>
      </c>
      <c r="G249" s="2" t="s">
        <v>362</v>
      </c>
      <c r="H249" s="2" t="s">
        <v>363</v>
      </c>
      <c r="I249" s="2" t="s">
        <v>364</v>
      </c>
      <c r="J249" s="3" t="s">
        <v>95</v>
      </c>
      <c r="K249" s="2" t="s">
        <v>353</v>
      </c>
      <c r="L249" s="2"/>
      <c r="M249" s="2" t="s">
        <v>354</v>
      </c>
      <c r="N249" s="2">
        <v>35670</v>
      </c>
      <c r="P249" s="2" t="s">
        <v>365</v>
      </c>
      <c r="Q249" s="2" t="s">
        <v>366</v>
      </c>
    </row>
    <row r="250" spans="1:17" x14ac:dyDescent="0.2">
      <c r="A250" s="2" t="s">
        <v>346</v>
      </c>
      <c r="B250" s="2" t="s">
        <v>347</v>
      </c>
      <c r="D250" s="2" t="s">
        <v>348</v>
      </c>
      <c r="E250" s="2" t="s">
        <v>349</v>
      </c>
      <c r="F250" s="3">
        <v>46087.387843194447</v>
      </c>
      <c r="G250" s="2" t="s">
        <v>362</v>
      </c>
      <c r="H250" s="2" t="s">
        <v>363</v>
      </c>
      <c r="I250" s="2" t="s">
        <v>364</v>
      </c>
      <c r="J250" s="3" t="s">
        <v>95</v>
      </c>
      <c r="K250" s="2" t="s">
        <v>353</v>
      </c>
      <c r="L250" s="2"/>
      <c r="M250" s="2" t="s">
        <v>354</v>
      </c>
      <c r="N250" s="2">
        <v>-1263</v>
      </c>
      <c r="P250" s="2" t="s">
        <v>365</v>
      </c>
      <c r="Q250" s="2" t="s">
        <v>366</v>
      </c>
    </row>
    <row r="251" spans="1:17" x14ac:dyDescent="0.2">
      <c r="A251" s="2" t="s">
        <v>346</v>
      </c>
      <c r="B251" s="2" t="s">
        <v>347</v>
      </c>
      <c r="D251" s="2" t="s">
        <v>348</v>
      </c>
      <c r="E251" s="2" t="s">
        <v>349</v>
      </c>
      <c r="F251" s="3">
        <v>46087.387901967595</v>
      </c>
      <c r="G251" s="2" t="s">
        <v>350</v>
      </c>
      <c r="H251" s="2" t="s">
        <v>351</v>
      </c>
      <c r="I251" s="2" t="s">
        <v>352</v>
      </c>
      <c r="J251" s="3" t="s">
        <v>95</v>
      </c>
      <c r="K251" s="2" t="s">
        <v>353</v>
      </c>
      <c r="L251" s="2"/>
      <c r="M251" s="2" t="s">
        <v>354</v>
      </c>
      <c r="N251" s="2">
        <v>69.754999999999995</v>
      </c>
      <c r="P251" s="2" t="s">
        <v>355</v>
      </c>
      <c r="Q251" s="2" t="s">
        <v>356</v>
      </c>
    </row>
    <row r="252" spans="1:17" x14ac:dyDescent="0.2">
      <c r="A252" s="2" t="s">
        <v>346</v>
      </c>
      <c r="B252" s="2" t="s">
        <v>347</v>
      </c>
      <c r="D252" s="2" t="s">
        <v>348</v>
      </c>
      <c r="E252" s="2" t="s">
        <v>349</v>
      </c>
      <c r="F252" s="3">
        <v>46087.388029155096</v>
      </c>
      <c r="G252" s="2" t="s">
        <v>362</v>
      </c>
      <c r="H252" s="2" t="s">
        <v>363</v>
      </c>
      <c r="I252" s="2" t="s">
        <v>364</v>
      </c>
      <c r="J252" s="3" t="s">
        <v>95</v>
      </c>
      <c r="K252" s="2" t="s">
        <v>353</v>
      </c>
      <c r="L252" s="2"/>
      <c r="M252" s="2" t="s">
        <v>354</v>
      </c>
      <c r="N252" s="2">
        <v>26028</v>
      </c>
      <c r="P252" s="2" t="s">
        <v>365</v>
      </c>
      <c r="Q252" s="2" t="s">
        <v>366</v>
      </c>
    </row>
    <row r="253" spans="1:17" x14ac:dyDescent="0.2">
      <c r="A253" s="2" t="s">
        <v>346</v>
      </c>
      <c r="B253" s="2" t="s">
        <v>347</v>
      </c>
      <c r="D253" s="2" t="s">
        <v>348</v>
      </c>
      <c r="E253" s="2" t="s">
        <v>349</v>
      </c>
      <c r="F253" s="3">
        <v>46087.388075671297</v>
      </c>
      <c r="G253" s="2" t="s">
        <v>362</v>
      </c>
      <c r="H253" s="2" t="s">
        <v>363</v>
      </c>
      <c r="I253" s="2" t="s">
        <v>364</v>
      </c>
      <c r="J253" s="3" t="s">
        <v>95</v>
      </c>
      <c r="K253" s="2" t="s">
        <v>353</v>
      </c>
      <c r="L253" s="2"/>
      <c r="M253" s="2" t="s">
        <v>354</v>
      </c>
      <c r="N253" s="2">
        <v>-30435</v>
      </c>
      <c r="P253" s="2" t="s">
        <v>365</v>
      </c>
      <c r="Q253" s="2" t="s">
        <v>366</v>
      </c>
    </row>
    <row r="254" spans="1:17" x14ac:dyDescent="0.2">
      <c r="A254" s="2" t="s">
        <v>346</v>
      </c>
      <c r="B254" s="2" t="s">
        <v>347</v>
      </c>
      <c r="D254" s="2" t="s">
        <v>348</v>
      </c>
      <c r="E254" s="2" t="s">
        <v>349</v>
      </c>
      <c r="F254" s="3">
        <v>46087.388191782411</v>
      </c>
      <c r="G254" s="2" t="s">
        <v>362</v>
      </c>
      <c r="H254" s="2" t="s">
        <v>363</v>
      </c>
      <c r="I254" s="2" t="s">
        <v>364</v>
      </c>
      <c r="J254" s="3" t="s">
        <v>95</v>
      </c>
      <c r="K254" s="2" t="s">
        <v>353</v>
      </c>
      <c r="L254" s="2"/>
      <c r="M254" s="2" t="s">
        <v>354</v>
      </c>
      <c r="N254" s="2">
        <v>16153</v>
      </c>
      <c r="P254" s="2" t="s">
        <v>365</v>
      </c>
      <c r="Q254" s="2" t="s">
        <v>366</v>
      </c>
    </row>
    <row r="255" spans="1:17" x14ac:dyDescent="0.2">
      <c r="A255" s="2" t="s">
        <v>346</v>
      </c>
      <c r="B255" s="2" t="s">
        <v>347</v>
      </c>
      <c r="D255" s="2" t="s">
        <v>348</v>
      </c>
      <c r="E255" s="2" t="s">
        <v>349</v>
      </c>
      <c r="F255" s="3">
        <v>46087.388238344909</v>
      </c>
      <c r="G255" s="2" t="s">
        <v>362</v>
      </c>
      <c r="H255" s="2" t="s">
        <v>363</v>
      </c>
      <c r="I255" s="2" t="s">
        <v>364</v>
      </c>
      <c r="J255" s="3" t="s">
        <v>95</v>
      </c>
      <c r="K255" s="2" t="s">
        <v>353</v>
      </c>
      <c r="L255" s="2"/>
      <c r="M255" s="2" t="s">
        <v>354</v>
      </c>
      <c r="N255" s="2">
        <v>-10023</v>
      </c>
      <c r="P255" s="2" t="s">
        <v>365</v>
      </c>
      <c r="Q255" s="2" t="s">
        <v>366</v>
      </c>
    </row>
    <row r="256" spans="1:17" x14ac:dyDescent="0.2">
      <c r="A256" s="2" t="s">
        <v>346</v>
      </c>
      <c r="B256" s="2" t="s">
        <v>347</v>
      </c>
      <c r="D256" s="2" t="s">
        <v>348</v>
      </c>
      <c r="E256" s="2" t="s">
        <v>349</v>
      </c>
      <c r="F256" s="3">
        <v>46087.388633946757</v>
      </c>
      <c r="G256" s="2" t="s">
        <v>362</v>
      </c>
      <c r="H256" s="2" t="s">
        <v>363</v>
      </c>
      <c r="I256" s="2" t="s">
        <v>364</v>
      </c>
      <c r="J256" s="3" t="s">
        <v>95</v>
      </c>
      <c r="K256" s="2" t="s">
        <v>353</v>
      </c>
      <c r="L256" s="2"/>
      <c r="M256" s="2" t="s">
        <v>354</v>
      </c>
      <c r="N256" s="2">
        <v>-4191</v>
      </c>
      <c r="P256" s="2" t="s">
        <v>365</v>
      </c>
      <c r="Q256" s="2" t="s">
        <v>366</v>
      </c>
    </row>
    <row r="257" spans="1:17" x14ac:dyDescent="0.2">
      <c r="A257" s="2" t="s">
        <v>346</v>
      </c>
      <c r="B257" s="2" t="s">
        <v>347</v>
      </c>
      <c r="D257" s="2" t="s">
        <v>348</v>
      </c>
      <c r="E257" s="2" t="s">
        <v>349</v>
      </c>
      <c r="F257" s="3">
        <v>46087.388680555552</v>
      </c>
      <c r="G257" s="2" t="s">
        <v>362</v>
      </c>
      <c r="H257" s="2" t="s">
        <v>363</v>
      </c>
      <c r="I257" s="2" t="s">
        <v>364</v>
      </c>
      <c r="J257" s="3" t="s">
        <v>95</v>
      </c>
      <c r="K257" s="2" t="s">
        <v>353</v>
      </c>
      <c r="L257" s="2"/>
      <c r="M257" s="2" t="s">
        <v>354</v>
      </c>
      <c r="N257" s="2">
        <v>36100</v>
      </c>
      <c r="P257" s="2" t="s">
        <v>365</v>
      </c>
      <c r="Q257" s="2" t="s">
        <v>366</v>
      </c>
    </row>
    <row r="258" spans="1:17" x14ac:dyDescent="0.2">
      <c r="A258" s="2" t="s">
        <v>346</v>
      </c>
      <c r="B258" s="2" t="s">
        <v>347</v>
      </c>
      <c r="D258" s="2" t="s">
        <v>348</v>
      </c>
      <c r="E258" s="2" t="s">
        <v>349</v>
      </c>
      <c r="F258" s="3">
        <v>46087.388785127318</v>
      </c>
      <c r="G258" s="2" t="s">
        <v>362</v>
      </c>
      <c r="H258" s="2" t="s">
        <v>363</v>
      </c>
      <c r="I258" s="2" t="s">
        <v>364</v>
      </c>
      <c r="J258" s="3" t="s">
        <v>95</v>
      </c>
      <c r="K258" s="2" t="s">
        <v>353</v>
      </c>
      <c r="L258" s="2"/>
      <c r="M258" s="2" t="s">
        <v>354</v>
      </c>
      <c r="N258" s="2">
        <v>-5061</v>
      </c>
      <c r="P258" s="2" t="s">
        <v>365</v>
      </c>
      <c r="Q258" s="2" t="s">
        <v>366</v>
      </c>
    </row>
    <row r="259" spans="1:17" x14ac:dyDescent="0.2">
      <c r="A259" s="2" t="s">
        <v>346</v>
      </c>
      <c r="B259" s="2" t="s">
        <v>347</v>
      </c>
      <c r="D259" s="2" t="s">
        <v>348</v>
      </c>
      <c r="E259" s="2" t="s">
        <v>349</v>
      </c>
      <c r="F259" s="3">
        <v>46087.389029456019</v>
      </c>
      <c r="G259" s="2" t="s">
        <v>362</v>
      </c>
      <c r="H259" s="2" t="s">
        <v>363</v>
      </c>
      <c r="I259" s="2" t="s">
        <v>364</v>
      </c>
      <c r="J259" s="3" t="s">
        <v>95</v>
      </c>
      <c r="K259" s="2" t="s">
        <v>353</v>
      </c>
      <c r="L259" s="2"/>
      <c r="M259" s="2" t="s">
        <v>354</v>
      </c>
      <c r="N259" s="2">
        <v>19393</v>
      </c>
      <c r="P259" s="2" t="s">
        <v>365</v>
      </c>
      <c r="Q259" s="2" t="s">
        <v>366</v>
      </c>
    </row>
    <row r="260" spans="1:17" x14ac:dyDescent="0.2">
      <c r="A260" s="2" t="s">
        <v>346</v>
      </c>
      <c r="B260" s="2" t="s">
        <v>347</v>
      </c>
      <c r="D260" s="2" t="s">
        <v>348</v>
      </c>
      <c r="E260" s="2" t="s">
        <v>349</v>
      </c>
      <c r="F260" s="3">
        <v>46087.389122546294</v>
      </c>
      <c r="G260" s="2" t="s">
        <v>362</v>
      </c>
      <c r="H260" s="2" t="s">
        <v>363</v>
      </c>
      <c r="I260" s="2" t="s">
        <v>364</v>
      </c>
      <c r="J260" s="3" t="s">
        <v>95</v>
      </c>
      <c r="K260" s="2" t="s">
        <v>353</v>
      </c>
      <c r="L260" s="2"/>
      <c r="M260" s="2" t="s">
        <v>354</v>
      </c>
      <c r="N260" s="2">
        <v>-10206</v>
      </c>
      <c r="P260" s="2" t="s">
        <v>365</v>
      </c>
      <c r="Q260" s="2" t="s">
        <v>366</v>
      </c>
    </row>
    <row r="261" spans="1:17" x14ac:dyDescent="0.2">
      <c r="A261" s="2" t="s">
        <v>346</v>
      </c>
      <c r="B261" s="2" t="s">
        <v>347</v>
      </c>
      <c r="D261" s="2" t="s">
        <v>348</v>
      </c>
      <c r="E261" s="2" t="s">
        <v>349</v>
      </c>
      <c r="F261" s="3">
        <v>46087.389203877312</v>
      </c>
      <c r="G261" s="2" t="s">
        <v>362</v>
      </c>
      <c r="H261" s="2" t="s">
        <v>363</v>
      </c>
      <c r="I261" s="2" t="s">
        <v>364</v>
      </c>
      <c r="J261" s="3" t="s">
        <v>95</v>
      </c>
      <c r="K261" s="2" t="s">
        <v>353</v>
      </c>
      <c r="L261" s="2"/>
      <c r="M261" s="2" t="s">
        <v>354</v>
      </c>
      <c r="N261" s="2">
        <v>39150</v>
      </c>
      <c r="P261" s="2" t="s">
        <v>365</v>
      </c>
      <c r="Q261" s="2" t="s">
        <v>366</v>
      </c>
    </row>
    <row r="262" spans="1:17" x14ac:dyDescent="0.2">
      <c r="A262" s="2" t="s">
        <v>346</v>
      </c>
      <c r="B262" s="2" t="s">
        <v>347</v>
      </c>
      <c r="D262" s="2" t="s">
        <v>348</v>
      </c>
      <c r="E262" s="2" t="s">
        <v>349</v>
      </c>
      <c r="F262" s="3">
        <v>46087.389262013887</v>
      </c>
      <c r="G262" s="2" t="s">
        <v>362</v>
      </c>
      <c r="H262" s="2" t="s">
        <v>363</v>
      </c>
      <c r="I262" s="2" t="s">
        <v>364</v>
      </c>
      <c r="J262" s="3" t="s">
        <v>95</v>
      </c>
      <c r="K262" s="2" t="s">
        <v>353</v>
      </c>
      <c r="L262" s="2"/>
      <c r="M262" s="2" t="s">
        <v>354</v>
      </c>
      <c r="N262" s="2">
        <v>-11191</v>
      </c>
      <c r="P262" s="2" t="s">
        <v>365</v>
      </c>
      <c r="Q262" s="2" t="s">
        <v>366</v>
      </c>
    </row>
    <row r="263" spans="1:17" x14ac:dyDescent="0.2">
      <c r="A263" s="2" t="s">
        <v>346</v>
      </c>
      <c r="B263" s="2" t="s">
        <v>347</v>
      </c>
      <c r="D263" s="2" t="s">
        <v>348</v>
      </c>
      <c r="E263" s="2" t="s">
        <v>349</v>
      </c>
      <c r="F263" s="3">
        <v>46087.389412974539</v>
      </c>
      <c r="G263" s="2" t="s">
        <v>362</v>
      </c>
      <c r="H263" s="2" t="s">
        <v>363</v>
      </c>
      <c r="I263" s="2" t="s">
        <v>364</v>
      </c>
      <c r="J263" s="3" t="s">
        <v>95</v>
      </c>
      <c r="K263" s="2" t="s">
        <v>353</v>
      </c>
      <c r="L263" s="2"/>
      <c r="M263" s="2" t="s">
        <v>354</v>
      </c>
      <c r="N263" s="2">
        <v>35788</v>
      </c>
      <c r="P263" s="2" t="s">
        <v>365</v>
      </c>
      <c r="Q263" s="2" t="s">
        <v>366</v>
      </c>
    </row>
    <row r="264" spans="1:17" x14ac:dyDescent="0.2">
      <c r="A264" s="2" t="s">
        <v>346</v>
      </c>
      <c r="B264" s="2" t="s">
        <v>347</v>
      </c>
      <c r="D264" s="2" t="s">
        <v>348</v>
      </c>
      <c r="E264" s="2" t="s">
        <v>349</v>
      </c>
      <c r="F264" s="3">
        <v>46087.389669189812</v>
      </c>
      <c r="G264" s="2" t="s">
        <v>362</v>
      </c>
      <c r="H264" s="2" t="s">
        <v>363</v>
      </c>
      <c r="I264" s="2" t="s">
        <v>364</v>
      </c>
      <c r="J264" s="3" t="s">
        <v>95</v>
      </c>
      <c r="K264" s="2" t="s">
        <v>353</v>
      </c>
      <c r="L264" s="2"/>
      <c r="M264" s="2" t="s">
        <v>354</v>
      </c>
      <c r="N264" s="2">
        <v>-8178</v>
      </c>
      <c r="P264" s="2" t="s">
        <v>365</v>
      </c>
      <c r="Q264" s="2" t="s">
        <v>366</v>
      </c>
    </row>
    <row r="265" spans="1:17" x14ac:dyDescent="0.2">
      <c r="A265" s="2" t="s">
        <v>346</v>
      </c>
      <c r="B265" s="2" t="s">
        <v>347</v>
      </c>
      <c r="D265" s="2" t="s">
        <v>348</v>
      </c>
      <c r="E265" s="2" t="s">
        <v>349</v>
      </c>
      <c r="F265" s="3">
        <v>46087.389761782404</v>
      </c>
      <c r="G265" s="2" t="s">
        <v>362</v>
      </c>
      <c r="H265" s="2" t="s">
        <v>363</v>
      </c>
      <c r="I265" s="2" t="s">
        <v>364</v>
      </c>
      <c r="J265" s="3" t="s">
        <v>95</v>
      </c>
      <c r="K265" s="2" t="s">
        <v>353</v>
      </c>
      <c r="L265" s="2"/>
      <c r="M265" s="2" t="s">
        <v>354</v>
      </c>
      <c r="N265" s="2">
        <v>23465</v>
      </c>
      <c r="P265" s="2" t="s">
        <v>365</v>
      </c>
      <c r="Q265" s="2" t="s">
        <v>366</v>
      </c>
    </row>
    <row r="266" spans="1:17" x14ac:dyDescent="0.2">
      <c r="A266" s="2" t="s">
        <v>346</v>
      </c>
      <c r="B266" s="2" t="s">
        <v>347</v>
      </c>
      <c r="D266" s="2" t="s">
        <v>348</v>
      </c>
      <c r="E266" s="2" t="s">
        <v>349</v>
      </c>
      <c r="F266" s="3">
        <v>46087.389995069447</v>
      </c>
      <c r="G266" s="2" t="s">
        <v>350</v>
      </c>
      <c r="H266" s="2" t="s">
        <v>351</v>
      </c>
      <c r="I266" s="2" t="s">
        <v>352</v>
      </c>
      <c r="J266" s="3" t="s">
        <v>95</v>
      </c>
      <c r="K266" s="2" t="s">
        <v>353</v>
      </c>
      <c r="L266" s="2"/>
      <c r="M266" s="2" t="s">
        <v>354</v>
      </c>
      <c r="N266" s="2">
        <v>68.415000000000006</v>
      </c>
      <c r="P266" s="2" t="s">
        <v>355</v>
      </c>
      <c r="Q266" s="2" t="s">
        <v>356</v>
      </c>
    </row>
    <row r="267" spans="1:17" x14ac:dyDescent="0.2">
      <c r="A267" s="2" t="s">
        <v>346</v>
      </c>
      <c r="B267" s="2" t="s">
        <v>347</v>
      </c>
      <c r="D267" s="2" t="s">
        <v>348</v>
      </c>
      <c r="E267" s="2" t="s">
        <v>349</v>
      </c>
      <c r="F267" s="3">
        <v>46087.390261550929</v>
      </c>
      <c r="G267" s="2" t="s">
        <v>362</v>
      </c>
      <c r="H267" s="2" t="s">
        <v>363</v>
      </c>
      <c r="I267" s="2" t="s">
        <v>364</v>
      </c>
      <c r="J267" s="3" t="s">
        <v>95</v>
      </c>
      <c r="K267" s="2" t="s">
        <v>353</v>
      </c>
      <c r="L267" s="2"/>
      <c r="M267" s="2" t="s">
        <v>354</v>
      </c>
      <c r="N267" s="2">
        <v>34726</v>
      </c>
      <c r="P267" s="2" t="s">
        <v>365</v>
      </c>
      <c r="Q267" s="2" t="s">
        <v>366</v>
      </c>
    </row>
    <row r="268" spans="1:17" x14ac:dyDescent="0.2">
      <c r="A268" s="2" t="s">
        <v>346</v>
      </c>
      <c r="B268" s="2" t="s">
        <v>347</v>
      </c>
      <c r="D268" s="2" t="s">
        <v>348</v>
      </c>
      <c r="E268" s="2" t="s">
        <v>349</v>
      </c>
      <c r="F268" s="3">
        <v>46087.39031959491</v>
      </c>
      <c r="G268" s="2" t="s">
        <v>362</v>
      </c>
      <c r="H268" s="2" t="s">
        <v>363</v>
      </c>
      <c r="I268" s="2" t="s">
        <v>364</v>
      </c>
      <c r="J268" s="3" t="s">
        <v>95</v>
      </c>
      <c r="K268" s="2" t="s">
        <v>353</v>
      </c>
      <c r="L268" s="2"/>
      <c r="M268" s="2" t="s">
        <v>354</v>
      </c>
      <c r="N268" s="2">
        <v>-3410</v>
      </c>
      <c r="P268" s="2" t="s">
        <v>365</v>
      </c>
      <c r="Q268" s="2" t="s">
        <v>366</v>
      </c>
    </row>
    <row r="269" spans="1:17" x14ac:dyDescent="0.2">
      <c r="A269" s="2" t="s">
        <v>346</v>
      </c>
      <c r="B269" s="2" t="s">
        <v>347</v>
      </c>
      <c r="D269" s="2" t="s">
        <v>348</v>
      </c>
      <c r="E269" s="2" t="s">
        <v>349</v>
      </c>
      <c r="F269" s="3">
        <v>46087.390493749997</v>
      </c>
      <c r="G269" s="2" t="s">
        <v>362</v>
      </c>
      <c r="H269" s="2" t="s">
        <v>363</v>
      </c>
      <c r="I269" s="2" t="s">
        <v>364</v>
      </c>
      <c r="J269" s="3" t="s">
        <v>95</v>
      </c>
      <c r="K269" s="2" t="s">
        <v>353</v>
      </c>
      <c r="L269" s="2"/>
      <c r="M269" s="2" t="s">
        <v>354</v>
      </c>
      <c r="N269" s="2">
        <v>33915</v>
      </c>
      <c r="P269" s="2" t="s">
        <v>365</v>
      </c>
      <c r="Q269" s="2" t="s">
        <v>366</v>
      </c>
    </row>
    <row r="270" spans="1:17" x14ac:dyDescent="0.2">
      <c r="A270" s="2" t="s">
        <v>346</v>
      </c>
      <c r="B270" s="2" t="s">
        <v>347</v>
      </c>
      <c r="D270" s="2" t="s">
        <v>348</v>
      </c>
      <c r="E270" s="2" t="s">
        <v>349</v>
      </c>
      <c r="F270" s="3">
        <v>46087.390551898148</v>
      </c>
      <c r="G270" s="2" t="s">
        <v>362</v>
      </c>
      <c r="H270" s="2" t="s">
        <v>363</v>
      </c>
      <c r="I270" s="2" t="s">
        <v>364</v>
      </c>
      <c r="J270" s="3" t="s">
        <v>95</v>
      </c>
      <c r="K270" s="2" t="s">
        <v>353</v>
      </c>
      <c r="L270" s="2"/>
      <c r="M270" s="2" t="s">
        <v>354</v>
      </c>
      <c r="N270" s="2">
        <v>-1795</v>
      </c>
      <c r="P270" s="2" t="s">
        <v>365</v>
      </c>
      <c r="Q270" s="2" t="s">
        <v>366</v>
      </c>
    </row>
    <row r="271" spans="1:17" x14ac:dyDescent="0.2">
      <c r="A271" s="2" t="s">
        <v>346</v>
      </c>
      <c r="B271" s="2" t="s">
        <v>347</v>
      </c>
      <c r="D271" s="2" t="s">
        <v>348</v>
      </c>
      <c r="E271" s="2" t="s">
        <v>349</v>
      </c>
      <c r="F271" s="3">
        <v>46087.390924479165</v>
      </c>
      <c r="G271" s="2" t="s">
        <v>350</v>
      </c>
      <c r="H271" s="2" t="s">
        <v>351</v>
      </c>
      <c r="I271" s="2" t="s">
        <v>352</v>
      </c>
      <c r="J271" s="3" t="s">
        <v>95</v>
      </c>
      <c r="K271" s="2" t="s">
        <v>353</v>
      </c>
      <c r="L271" s="2"/>
      <c r="M271" s="2" t="s">
        <v>354</v>
      </c>
      <c r="N271" s="2">
        <v>67.075000000000003</v>
      </c>
      <c r="P271" s="2" t="s">
        <v>355</v>
      </c>
      <c r="Q271" s="2" t="s">
        <v>356</v>
      </c>
    </row>
    <row r="272" spans="1:17" x14ac:dyDescent="0.2">
      <c r="A272" s="2" t="s">
        <v>346</v>
      </c>
      <c r="B272" s="2" t="s">
        <v>347</v>
      </c>
      <c r="D272" s="2" t="s">
        <v>348</v>
      </c>
      <c r="E272" s="2" t="s">
        <v>349</v>
      </c>
      <c r="F272" s="3">
        <v>46087.390993472225</v>
      </c>
      <c r="G272" s="2" t="s">
        <v>362</v>
      </c>
      <c r="H272" s="2" t="s">
        <v>363</v>
      </c>
      <c r="I272" s="2" t="s">
        <v>364</v>
      </c>
      <c r="J272" s="3" t="s">
        <v>95</v>
      </c>
      <c r="K272" s="2" t="s">
        <v>353</v>
      </c>
      <c r="L272" s="2"/>
      <c r="M272" s="2" t="s">
        <v>354</v>
      </c>
      <c r="N272" s="2">
        <v>34189</v>
      </c>
      <c r="P272" s="2" t="s">
        <v>365</v>
      </c>
      <c r="Q272" s="2" t="s">
        <v>366</v>
      </c>
    </row>
    <row r="273" spans="1:17" x14ac:dyDescent="0.2">
      <c r="A273" s="2" t="s">
        <v>346</v>
      </c>
      <c r="B273" s="2" t="s">
        <v>347</v>
      </c>
      <c r="D273" s="2" t="s">
        <v>348</v>
      </c>
      <c r="E273" s="2" t="s">
        <v>349</v>
      </c>
      <c r="F273" s="3">
        <v>46087.391016574074</v>
      </c>
      <c r="G273" s="2" t="s">
        <v>362</v>
      </c>
      <c r="H273" s="2" t="s">
        <v>363</v>
      </c>
      <c r="I273" s="2" t="s">
        <v>364</v>
      </c>
      <c r="J273" s="3" t="s">
        <v>95</v>
      </c>
      <c r="K273" s="2" t="s">
        <v>353</v>
      </c>
      <c r="L273" s="2"/>
      <c r="M273" s="2" t="s">
        <v>354</v>
      </c>
      <c r="N273" s="2">
        <v>1247</v>
      </c>
      <c r="P273" s="2" t="s">
        <v>365</v>
      </c>
      <c r="Q273" s="2" t="s">
        <v>366</v>
      </c>
    </row>
    <row r="274" spans="1:17" x14ac:dyDescent="0.2">
      <c r="A274" s="2" t="s">
        <v>346</v>
      </c>
      <c r="B274" s="2" t="s">
        <v>347</v>
      </c>
      <c r="D274" s="2" t="s">
        <v>348</v>
      </c>
      <c r="E274" s="2" t="s">
        <v>349</v>
      </c>
      <c r="F274" s="3">
        <v>46087.391086249998</v>
      </c>
      <c r="G274" s="2" t="s">
        <v>362</v>
      </c>
      <c r="H274" s="2" t="s">
        <v>363</v>
      </c>
      <c r="I274" s="2" t="s">
        <v>364</v>
      </c>
      <c r="J274" s="3" t="s">
        <v>95</v>
      </c>
      <c r="K274" s="2" t="s">
        <v>353</v>
      </c>
      <c r="L274" s="2"/>
      <c r="M274" s="2" t="s">
        <v>354</v>
      </c>
      <c r="N274" s="2">
        <v>29946</v>
      </c>
      <c r="P274" s="2" t="s">
        <v>365</v>
      </c>
      <c r="Q274" s="2" t="s">
        <v>366</v>
      </c>
    </row>
    <row r="275" spans="1:17" x14ac:dyDescent="0.2">
      <c r="A275" s="2" t="s">
        <v>346</v>
      </c>
      <c r="B275" s="2" t="s">
        <v>347</v>
      </c>
      <c r="D275" s="2" t="s">
        <v>348</v>
      </c>
      <c r="E275" s="2" t="s">
        <v>349</v>
      </c>
      <c r="F275" s="3">
        <v>46087.391121053239</v>
      </c>
      <c r="G275" s="2" t="s">
        <v>362</v>
      </c>
      <c r="H275" s="2" t="s">
        <v>363</v>
      </c>
      <c r="I275" s="2" t="s">
        <v>364</v>
      </c>
      <c r="J275" s="3" t="s">
        <v>95</v>
      </c>
      <c r="K275" s="2" t="s">
        <v>353</v>
      </c>
      <c r="L275" s="2"/>
      <c r="M275" s="2" t="s">
        <v>354</v>
      </c>
      <c r="N275" s="2">
        <v>-6849</v>
      </c>
      <c r="P275" s="2" t="s">
        <v>365</v>
      </c>
      <c r="Q275" s="2" t="s">
        <v>366</v>
      </c>
    </row>
    <row r="276" spans="1:17" x14ac:dyDescent="0.2">
      <c r="A276" s="2" t="s">
        <v>346</v>
      </c>
      <c r="B276" s="2" t="s">
        <v>347</v>
      </c>
      <c r="D276" s="2" t="s">
        <v>348</v>
      </c>
      <c r="E276" s="2" t="s">
        <v>349</v>
      </c>
      <c r="F276" s="3">
        <v>46087.391446944443</v>
      </c>
      <c r="G276" s="2" t="s">
        <v>362</v>
      </c>
      <c r="H276" s="2" t="s">
        <v>363</v>
      </c>
      <c r="I276" s="2" t="s">
        <v>364</v>
      </c>
      <c r="J276" s="3" t="s">
        <v>95</v>
      </c>
      <c r="K276" s="2" t="s">
        <v>353</v>
      </c>
      <c r="L276" s="2"/>
      <c r="M276" s="2" t="s">
        <v>354</v>
      </c>
      <c r="N276" s="2">
        <v>21840</v>
      </c>
      <c r="P276" s="2" t="s">
        <v>365</v>
      </c>
      <c r="Q276" s="2" t="s">
        <v>366</v>
      </c>
    </row>
    <row r="277" spans="1:17" x14ac:dyDescent="0.2">
      <c r="A277" s="2" t="s">
        <v>346</v>
      </c>
      <c r="B277" s="2" t="s">
        <v>347</v>
      </c>
      <c r="D277" s="2" t="s">
        <v>348</v>
      </c>
      <c r="E277" s="2" t="s">
        <v>349</v>
      </c>
      <c r="F277" s="3">
        <v>46087.39152809028</v>
      </c>
      <c r="G277" s="2" t="s">
        <v>362</v>
      </c>
      <c r="H277" s="2" t="s">
        <v>363</v>
      </c>
      <c r="I277" s="2" t="s">
        <v>364</v>
      </c>
      <c r="J277" s="3" t="s">
        <v>95</v>
      </c>
      <c r="K277" s="2" t="s">
        <v>353</v>
      </c>
      <c r="L277" s="2"/>
      <c r="M277" s="2" t="s">
        <v>354</v>
      </c>
      <c r="N277" s="2">
        <v>-11632</v>
      </c>
      <c r="P277" s="2" t="s">
        <v>365</v>
      </c>
      <c r="Q277" s="2" t="s">
        <v>366</v>
      </c>
    </row>
    <row r="278" spans="1:17" x14ac:dyDescent="0.2">
      <c r="A278" s="2" t="s">
        <v>346</v>
      </c>
      <c r="B278" s="2" t="s">
        <v>347</v>
      </c>
      <c r="D278" s="2" t="s">
        <v>348</v>
      </c>
      <c r="E278" s="2" t="s">
        <v>349</v>
      </c>
      <c r="F278" s="3">
        <v>46087.391726122682</v>
      </c>
      <c r="G278" s="2" t="s">
        <v>362</v>
      </c>
      <c r="H278" s="2" t="s">
        <v>363</v>
      </c>
      <c r="I278" s="2" t="s">
        <v>364</v>
      </c>
      <c r="J278" s="3" t="s">
        <v>95</v>
      </c>
      <c r="K278" s="2" t="s">
        <v>353</v>
      </c>
      <c r="L278" s="2"/>
      <c r="M278" s="2" t="s">
        <v>354</v>
      </c>
      <c r="N278" s="2">
        <v>28580</v>
      </c>
      <c r="P278" s="2" t="s">
        <v>365</v>
      </c>
      <c r="Q278" s="2" t="s">
        <v>366</v>
      </c>
    </row>
    <row r="279" spans="1:17" x14ac:dyDescent="0.2">
      <c r="A279" s="2" t="s">
        <v>346</v>
      </c>
      <c r="B279" s="2" t="s">
        <v>347</v>
      </c>
      <c r="D279" s="2" t="s">
        <v>348</v>
      </c>
      <c r="E279" s="2" t="s">
        <v>349</v>
      </c>
      <c r="F279" s="3">
        <v>46087.391772685187</v>
      </c>
      <c r="G279" s="2" t="s">
        <v>362</v>
      </c>
      <c r="H279" s="2" t="s">
        <v>363</v>
      </c>
      <c r="I279" s="2" t="s">
        <v>364</v>
      </c>
      <c r="J279" s="3" t="s">
        <v>95</v>
      </c>
      <c r="K279" s="2" t="s">
        <v>353</v>
      </c>
      <c r="L279" s="2"/>
      <c r="M279" s="2" t="s">
        <v>354</v>
      </c>
      <c r="N279" s="2">
        <v>-4481</v>
      </c>
      <c r="P279" s="2" t="s">
        <v>365</v>
      </c>
      <c r="Q279" s="2" t="s">
        <v>366</v>
      </c>
    </row>
    <row r="280" spans="1:17" x14ac:dyDescent="0.2">
      <c r="A280" s="2" t="s">
        <v>346</v>
      </c>
      <c r="B280" s="2" t="s">
        <v>347</v>
      </c>
      <c r="D280" s="2" t="s">
        <v>348</v>
      </c>
      <c r="E280" s="2" t="s">
        <v>349</v>
      </c>
      <c r="F280" s="3">
        <v>46087.391866053244</v>
      </c>
      <c r="G280" s="2" t="s">
        <v>362</v>
      </c>
      <c r="H280" s="2" t="s">
        <v>363</v>
      </c>
      <c r="I280" s="2" t="s">
        <v>364</v>
      </c>
      <c r="J280" s="3" t="s">
        <v>95</v>
      </c>
      <c r="K280" s="2" t="s">
        <v>353</v>
      </c>
      <c r="L280" s="2"/>
      <c r="M280" s="2" t="s">
        <v>354</v>
      </c>
      <c r="N280" s="2">
        <v>25305</v>
      </c>
      <c r="P280" s="2" t="s">
        <v>365</v>
      </c>
      <c r="Q280" s="2" t="s">
        <v>366</v>
      </c>
    </row>
    <row r="281" spans="1:17" x14ac:dyDescent="0.2">
      <c r="A281" s="2" t="s">
        <v>346</v>
      </c>
      <c r="B281" s="2" t="s">
        <v>347</v>
      </c>
      <c r="D281" s="2" t="s">
        <v>348</v>
      </c>
      <c r="E281" s="2" t="s">
        <v>349</v>
      </c>
      <c r="F281" s="3">
        <v>46087.391901226852</v>
      </c>
      <c r="G281" s="2" t="s">
        <v>362</v>
      </c>
      <c r="H281" s="2" t="s">
        <v>363</v>
      </c>
      <c r="I281" s="2" t="s">
        <v>364</v>
      </c>
      <c r="J281" s="3" t="s">
        <v>95</v>
      </c>
      <c r="K281" s="2" t="s">
        <v>353</v>
      </c>
      <c r="L281" s="2"/>
      <c r="M281" s="2" t="s">
        <v>354</v>
      </c>
      <c r="N281" s="2">
        <v>-1260</v>
      </c>
      <c r="P281" s="2" t="s">
        <v>365</v>
      </c>
      <c r="Q281" s="2" t="s">
        <v>366</v>
      </c>
    </row>
    <row r="282" spans="1:17" x14ac:dyDescent="0.2">
      <c r="A282" s="2" t="s">
        <v>346</v>
      </c>
      <c r="B282" s="2" t="s">
        <v>347</v>
      </c>
      <c r="D282" s="2" t="s">
        <v>348</v>
      </c>
      <c r="E282" s="2" t="s">
        <v>349</v>
      </c>
      <c r="F282" s="3">
        <v>46087.391982604167</v>
      </c>
      <c r="G282" s="2" t="s">
        <v>362</v>
      </c>
      <c r="H282" s="2" t="s">
        <v>363</v>
      </c>
      <c r="I282" s="2" t="s">
        <v>364</v>
      </c>
      <c r="J282" s="3" t="s">
        <v>95</v>
      </c>
      <c r="K282" s="2" t="s">
        <v>353</v>
      </c>
      <c r="L282" s="2"/>
      <c r="M282" s="2" t="s">
        <v>354</v>
      </c>
      <c r="N282" s="2">
        <v>37024</v>
      </c>
      <c r="P282" s="2" t="s">
        <v>365</v>
      </c>
      <c r="Q282" s="2" t="s">
        <v>366</v>
      </c>
    </row>
    <row r="283" spans="1:17" x14ac:dyDescent="0.2">
      <c r="A283" s="2" t="s">
        <v>346</v>
      </c>
      <c r="B283" s="2" t="s">
        <v>347</v>
      </c>
      <c r="D283" s="2" t="s">
        <v>348</v>
      </c>
      <c r="E283" s="2" t="s">
        <v>349</v>
      </c>
      <c r="F283" s="3">
        <v>46087.392017465281</v>
      </c>
      <c r="G283" s="2" t="s">
        <v>362</v>
      </c>
      <c r="H283" s="2" t="s">
        <v>363</v>
      </c>
      <c r="I283" s="2" t="s">
        <v>364</v>
      </c>
      <c r="J283" s="3" t="s">
        <v>95</v>
      </c>
      <c r="K283" s="2" t="s">
        <v>353</v>
      </c>
      <c r="L283" s="2"/>
      <c r="M283" s="2" t="s">
        <v>354</v>
      </c>
      <c r="N283" s="2">
        <v>1955</v>
      </c>
      <c r="P283" s="2" t="s">
        <v>365</v>
      </c>
      <c r="Q283" s="2" t="s">
        <v>366</v>
      </c>
    </row>
    <row r="284" spans="1:17" x14ac:dyDescent="0.2">
      <c r="A284" s="2" t="s">
        <v>346</v>
      </c>
      <c r="B284" s="2" t="s">
        <v>347</v>
      </c>
      <c r="D284" s="2" t="s">
        <v>348</v>
      </c>
      <c r="E284" s="2" t="s">
        <v>349</v>
      </c>
      <c r="F284" s="3">
        <v>46087.392133657406</v>
      </c>
      <c r="G284" s="2" t="s">
        <v>362</v>
      </c>
      <c r="H284" s="2" t="s">
        <v>363</v>
      </c>
      <c r="I284" s="2" t="s">
        <v>364</v>
      </c>
      <c r="J284" s="3" t="s">
        <v>95</v>
      </c>
      <c r="K284" s="2" t="s">
        <v>353</v>
      </c>
      <c r="L284" s="2"/>
      <c r="M284" s="2" t="s">
        <v>354</v>
      </c>
      <c r="N284" s="2">
        <v>-23645</v>
      </c>
      <c r="P284" s="2" t="s">
        <v>365</v>
      </c>
      <c r="Q284" s="2" t="s">
        <v>366</v>
      </c>
    </row>
    <row r="285" spans="1:17" x14ac:dyDescent="0.2">
      <c r="A285" s="2" t="s">
        <v>346</v>
      </c>
      <c r="B285" s="2" t="s">
        <v>347</v>
      </c>
      <c r="D285" s="2" t="s">
        <v>348</v>
      </c>
      <c r="E285" s="2" t="s">
        <v>349</v>
      </c>
      <c r="F285" s="3">
        <v>46087.392505520831</v>
      </c>
      <c r="G285" s="2" t="s">
        <v>362</v>
      </c>
      <c r="H285" s="2" t="s">
        <v>363</v>
      </c>
      <c r="I285" s="2" t="s">
        <v>364</v>
      </c>
      <c r="J285" s="3" t="s">
        <v>95</v>
      </c>
      <c r="K285" s="2" t="s">
        <v>353</v>
      </c>
      <c r="L285" s="2"/>
      <c r="M285" s="2" t="s">
        <v>354</v>
      </c>
      <c r="N285" s="2">
        <v>28957</v>
      </c>
      <c r="P285" s="2" t="s">
        <v>365</v>
      </c>
      <c r="Q285" s="2" t="s">
        <v>366</v>
      </c>
    </row>
    <row r="286" spans="1:17" x14ac:dyDescent="0.2">
      <c r="A286" s="2" t="s">
        <v>346</v>
      </c>
      <c r="B286" s="2" t="s">
        <v>347</v>
      </c>
      <c r="D286" s="2" t="s">
        <v>348</v>
      </c>
      <c r="E286" s="2" t="s">
        <v>349</v>
      </c>
      <c r="F286" s="3">
        <v>46087.392668321758</v>
      </c>
      <c r="G286" s="2" t="s">
        <v>362</v>
      </c>
      <c r="H286" s="2" t="s">
        <v>363</v>
      </c>
      <c r="I286" s="2" t="s">
        <v>364</v>
      </c>
      <c r="J286" s="3" t="s">
        <v>95</v>
      </c>
      <c r="K286" s="2" t="s">
        <v>353</v>
      </c>
      <c r="L286" s="2"/>
      <c r="M286" s="2" t="s">
        <v>354</v>
      </c>
      <c r="N286" s="2">
        <v>-5556</v>
      </c>
      <c r="P286" s="2" t="s">
        <v>365</v>
      </c>
      <c r="Q286" s="2" t="s">
        <v>366</v>
      </c>
    </row>
    <row r="287" spans="1:17" x14ac:dyDescent="0.2">
      <c r="A287" s="2" t="s">
        <v>346</v>
      </c>
      <c r="B287" s="2" t="s">
        <v>347</v>
      </c>
      <c r="D287" s="2" t="s">
        <v>348</v>
      </c>
      <c r="E287" s="2" t="s">
        <v>349</v>
      </c>
      <c r="F287" s="3">
        <v>46087.392779363428</v>
      </c>
      <c r="G287" s="2" t="s">
        <v>350</v>
      </c>
      <c r="H287" s="2" t="s">
        <v>351</v>
      </c>
      <c r="I287" s="2" t="s">
        <v>352</v>
      </c>
      <c r="J287" s="3" t="s">
        <v>95</v>
      </c>
      <c r="K287" s="2" t="s">
        <v>353</v>
      </c>
      <c r="L287" s="2"/>
      <c r="M287" s="2" t="s">
        <v>354</v>
      </c>
      <c r="N287" s="2">
        <v>65.974999999999994</v>
      </c>
      <c r="P287" s="2" t="s">
        <v>355</v>
      </c>
      <c r="Q287" s="2" t="s">
        <v>356</v>
      </c>
    </row>
    <row r="288" spans="1:17" x14ac:dyDescent="0.2">
      <c r="A288" s="2" t="s">
        <v>346</v>
      </c>
      <c r="B288" s="2" t="s">
        <v>347</v>
      </c>
      <c r="D288" s="2" t="s">
        <v>348</v>
      </c>
      <c r="E288" s="2" t="s">
        <v>349</v>
      </c>
      <c r="F288" s="3">
        <v>46087.392958715274</v>
      </c>
      <c r="G288" s="2" t="s">
        <v>362</v>
      </c>
      <c r="H288" s="2" t="s">
        <v>363</v>
      </c>
      <c r="I288" s="2" t="s">
        <v>364</v>
      </c>
      <c r="J288" s="3" t="s">
        <v>95</v>
      </c>
      <c r="K288" s="2" t="s">
        <v>353</v>
      </c>
      <c r="L288" s="2"/>
      <c r="M288" s="2" t="s">
        <v>354</v>
      </c>
      <c r="N288" s="2">
        <v>25525</v>
      </c>
      <c r="P288" s="2" t="s">
        <v>365</v>
      </c>
      <c r="Q288" s="2" t="s">
        <v>366</v>
      </c>
    </row>
    <row r="289" spans="1:17" x14ac:dyDescent="0.2">
      <c r="A289" s="2" t="s">
        <v>346</v>
      </c>
      <c r="B289" s="2" t="s">
        <v>347</v>
      </c>
      <c r="D289" s="2" t="s">
        <v>348</v>
      </c>
      <c r="E289" s="2" t="s">
        <v>349</v>
      </c>
      <c r="F289" s="3">
        <v>46087.39324946759</v>
      </c>
      <c r="G289" s="2" t="s">
        <v>362</v>
      </c>
      <c r="H289" s="2" t="s">
        <v>363</v>
      </c>
      <c r="I289" s="2" t="s">
        <v>364</v>
      </c>
      <c r="J289" s="3" t="s">
        <v>95</v>
      </c>
      <c r="K289" s="2" t="s">
        <v>353</v>
      </c>
      <c r="L289" s="2"/>
      <c r="M289" s="2" t="s">
        <v>354</v>
      </c>
      <c r="N289" s="2">
        <v>-20967</v>
      </c>
      <c r="P289" s="2" t="s">
        <v>365</v>
      </c>
      <c r="Q289" s="2" t="s">
        <v>366</v>
      </c>
    </row>
    <row r="290" spans="1:17" x14ac:dyDescent="0.2">
      <c r="A290" s="2" t="s">
        <v>346</v>
      </c>
      <c r="B290" s="2" t="s">
        <v>347</v>
      </c>
      <c r="D290" s="2" t="s">
        <v>348</v>
      </c>
      <c r="E290" s="2" t="s">
        <v>349</v>
      </c>
      <c r="F290" s="3">
        <v>46087.393714421298</v>
      </c>
      <c r="G290" s="2" t="s">
        <v>362</v>
      </c>
      <c r="H290" s="2" t="s">
        <v>363</v>
      </c>
      <c r="I290" s="2" t="s">
        <v>364</v>
      </c>
      <c r="J290" s="3" t="s">
        <v>95</v>
      </c>
      <c r="K290" s="2" t="s">
        <v>353</v>
      </c>
      <c r="L290" s="2"/>
      <c r="M290" s="2" t="s">
        <v>354</v>
      </c>
      <c r="N290" s="2">
        <v>32399</v>
      </c>
      <c r="P290" s="2" t="s">
        <v>365</v>
      </c>
      <c r="Q290" s="2" t="s">
        <v>366</v>
      </c>
    </row>
    <row r="291" spans="1:17" x14ac:dyDescent="0.2">
      <c r="A291" s="2" t="s">
        <v>346</v>
      </c>
      <c r="B291" s="2" t="s">
        <v>347</v>
      </c>
      <c r="D291" s="2" t="s">
        <v>348</v>
      </c>
      <c r="E291" s="2" t="s">
        <v>349</v>
      </c>
      <c r="F291" s="3">
        <v>46087.393726041664</v>
      </c>
      <c r="G291" s="2" t="s">
        <v>362</v>
      </c>
      <c r="H291" s="2" t="s">
        <v>363</v>
      </c>
      <c r="I291" s="2" t="s">
        <v>364</v>
      </c>
      <c r="J291" s="3" t="s">
        <v>95</v>
      </c>
      <c r="K291" s="2" t="s">
        <v>353</v>
      </c>
      <c r="L291" s="2"/>
      <c r="M291" s="2" t="s">
        <v>354</v>
      </c>
      <c r="N291" s="2">
        <v>535</v>
      </c>
      <c r="P291" s="2" t="s">
        <v>365</v>
      </c>
      <c r="Q291" s="2" t="s">
        <v>366</v>
      </c>
    </row>
    <row r="292" spans="1:17" x14ac:dyDescent="0.2">
      <c r="A292" s="2" t="s">
        <v>346</v>
      </c>
      <c r="B292" s="2" t="s">
        <v>347</v>
      </c>
      <c r="D292" s="2" t="s">
        <v>348</v>
      </c>
      <c r="E292" s="2" t="s">
        <v>349</v>
      </c>
      <c r="F292" s="3">
        <v>46087.393749282404</v>
      </c>
      <c r="G292" s="2" t="s">
        <v>362</v>
      </c>
      <c r="H292" s="2" t="s">
        <v>363</v>
      </c>
      <c r="I292" s="2" t="s">
        <v>364</v>
      </c>
      <c r="J292" s="3" t="s">
        <v>95</v>
      </c>
      <c r="K292" s="2" t="s">
        <v>353</v>
      </c>
      <c r="L292" s="2"/>
      <c r="M292" s="2" t="s">
        <v>354</v>
      </c>
      <c r="N292" s="2">
        <v>31904</v>
      </c>
      <c r="P292" s="2" t="s">
        <v>365</v>
      </c>
      <c r="Q292" s="2" t="s">
        <v>366</v>
      </c>
    </row>
    <row r="293" spans="1:17" x14ac:dyDescent="0.2">
      <c r="A293" s="2" t="s">
        <v>346</v>
      </c>
      <c r="B293" s="2" t="s">
        <v>347</v>
      </c>
      <c r="D293" s="2" t="s">
        <v>348</v>
      </c>
      <c r="E293" s="2" t="s">
        <v>349</v>
      </c>
      <c r="F293" s="3">
        <v>46087.394063587963</v>
      </c>
      <c r="G293" s="2" t="s">
        <v>362</v>
      </c>
      <c r="H293" s="2" t="s">
        <v>363</v>
      </c>
      <c r="I293" s="2" t="s">
        <v>364</v>
      </c>
      <c r="J293" s="3" t="s">
        <v>95</v>
      </c>
      <c r="K293" s="2" t="s">
        <v>353</v>
      </c>
      <c r="L293" s="2"/>
      <c r="M293" s="2" t="s">
        <v>354</v>
      </c>
      <c r="N293" s="2">
        <v>30217</v>
      </c>
      <c r="P293" s="2" t="s">
        <v>365</v>
      </c>
      <c r="Q293" s="2" t="s">
        <v>366</v>
      </c>
    </row>
    <row r="294" spans="1:17" x14ac:dyDescent="0.2">
      <c r="A294" s="2" t="s">
        <v>346</v>
      </c>
      <c r="B294" s="2" t="s">
        <v>347</v>
      </c>
      <c r="D294" s="2" t="s">
        <v>348</v>
      </c>
      <c r="E294" s="2" t="s">
        <v>349</v>
      </c>
      <c r="F294" s="3">
        <v>46087.394145011574</v>
      </c>
      <c r="G294" s="2" t="s">
        <v>362</v>
      </c>
      <c r="H294" s="2" t="s">
        <v>363</v>
      </c>
      <c r="I294" s="2" t="s">
        <v>364</v>
      </c>
      <c r="J294" s="3" t="s">
        <v>95</v>
      </c>
      <c r="K294" s="2" t="s">
        <v>353</v>
      </c>
      <c r="L294" s="2"/>
      <c r="M294" s="2" t="s">
        <v>354</v>
      </c>
      <c r="N294" s="2">
        <v>6052</v>
      </c>
      <c r="P294" s="2" t="s">
        <v>365</v>
      </c>
      <c r="Q294" s="2" t="s">
        <v>366</v>
      </c>
    </row>
    <row r="295" spans="1:17" x14ac:dyDescent="0.2">
      <c r="A295" s="2" t="s">
        <v>346</v>
      </c>
      <c r="B295" s="2" t="s">
        <v>347</v>
      </c>
      <c r="D295" s="2" t="s">
        <v>348</v>
      </c>
      <c r="E295" s="2" t="s">
        <v>349</v>
      </c>
      <c r="F295" s="3">
        <v>46087.394168344908</v>
      </c>
      <c r="G295" s="2" t="s">
        <v>362</v>
      </c>
      <c r="H295" s="2" t="s">
        <v>363</v>
      </c>
      <c r="I295" s="2" t="s">
        <v>364</v>
      </c>
      <c r="J295" s="3" t="s">
        <v>95</v>
      </c>
      <c r="K295" s="2" t="s">
        <v>353</v>
      </c>
      <c r="L295" s="2"/>
      <c r="M295" s="2" t="s">
        <v>354</v>
      </c>
      <c r="N295" s="2">
        <v>-41823</v>
      </c>
      <c r="P295" s="2" t="s">
        <v>365</v>
      </c>
      <c r="Q295" s="2" t="s">
        <v>366</v>
      </c>
    </row>
    <row r="296" spans="1:17" x14ac:dyDescent="0.2">
      <c r="A296" s="2" t="s">
        <v>346</v>
      </c>
      <c r="B296" s="2" t="s">
        <v>347</v>
      </c>
      <c r="D296" s="2" t="s">
        <v>348</v>
      </c>
      <c r="E296" s="2" t="s">
        <v>349</v>
      </c>
      <c r="F296" s="3">
        <v>46087.394169155094</v>
      </c>
      <c r="G296" s="2" t="s">
        <v>350</v>
      </c>
      <c r="H296" s="2" t="s">
        <v>351</v>
      </c>
      <c r="I296" s="2" t="s">
        <v>352</v>
      </c>
      <c r="J296" s="3" t="s">
        <v>95</v>
      </c>
      <c r="K296" s="2" t="s">
        <v>353</v>
      </c>
      <c r="L296" s="2"/>
      <c r="M296" s="2" t="s">
        <v>354</v>
      </c>
      <c r="N296" s="2">
        <v>64.754999999999995</v>
      </c>
      <c r="P296" s="2" t="s">
        <v>355</v>
      </c>
      <c r="Q296" s="2" t="s">
        <v>356</v>
      </c>
    </row>
    <row r="297" spans="1:17" x14ac:dyDescent="0.2">
      <c r="A297" s="2" t="s">
        <v>346</v>
      </c>
      <c r="B297" s="2" t="s">
        <v>347</v>
      </c>
      <c r="D297" s="2" t="s">
        <v>348</v>
      </c>
      <c r="E297" s="2" t="s">
        <v>349</v>
      </c>
      <c r="F297" s="3">
        <v>46087.394307731483</v>
      </c>
      <c r="G297" s="2" t="s">
        <v>362</v>
      </c>
      <c r="H297" s="2" t="s">
        <v>363</v>
      </c>
      <c r="I297" s="2" t="s">
        <v>364</v>
      </c>
      <c r="J297" s="3" t="s">
        <v>95</v>
      </c>
      <c r="K297" s="2" t="s">
        <v>353</v>
      </c>
      <c r="L297" s="2"/>
      <c r="M297" s="2" t="s">
        <v>354</v>
      </c>
      <c r="N297" s="2">
        <v>29672</v>
      </c>
      <c r="P297" s="2" t="s">
        <v>365</v>
      </c>
      <c r="Q297" s="2" t="s">
        <v>366</v>
      </c>
    </row>
    <row r="298" spans="1:17" x14ac:dyDescent="0.2">
      <c r="A298" s="2" t="s">
        <v>346</v>
      </c>
      <c r="B298" s="2" t="s">
        <v>347</v>
      </c>
      <c r="D298" s="2" t="s">
        <v>348</v>
      </c>
      <c r="E298" s="2" t="s">
        <v>349</v>
      </c>
      <c r="F298" s="3">
        <v>46087.394563530092</v>
      </c>
      <c r="G298" s="2" t="s">
        <v>362</v>
      </c>
      <c r="H298" s="2" t="s">
        <v>363</v>
      </c>
      <c r="I298" s="2" t="s">
        <v>364</v>
      </c>
      <c r="J298" s="3" t="s">
        <v>95</v>
      </c>
      <c r="K298" s="2" t="s">
        <v>353</v>
      </c>
      <c r="L298" s="2"/>
      <c r="M298" s="2" t="s">
        <v>354</v>
      </c>
      <c r="N298" s="2">
        <v>-23200</v>
      </c>
      <c r="P298" s="2" t="s">
        <v>365</v>
      </c>
      <c r="Q298" s="2" t="s">
        <v>366</v>
      </c>
    </row>
    <row r="299" spans="1:17" x14ac:dyDescent="0.2">
      <c r="A299" s="2" t="s">
        <v>346</v>
      </c>
      <c r="B299" s="2" t="s">
        <v>347</v>
      </c>
      <c r="D299" s="2" t="s">
        <v>348</v>
      </c>
      <c r="E299" s="2" t="s">
        <v>349</v>
      </c>
      <c r="F299" s="3">
        <v>46087.394796006942</v>
      </c>
      <c r="G299" s="2" t="s">
        <v>362</v>
      </c>
      <c r="H299" s="2" t="s">
        <v>363</v>
      </c>
      <c r="I299" s="2" t="s">
        <v>364</v>
      </c>
      <c r="J299" s="3" t="s">
        <v>95</v>
      </c>
      <c r="K299" s="2" t="s">
        <v>353</v>
      </c>
      <c r="L299" s="2"/>
      <c r="M299" s="2" t="s">
        <v>354</v>
      </c>
      <c r="N299" s="2">
        <v>38626</v>
      </c>
      <c r="P299" s="2" t="s">
        <v>365</v>
      </c>
      <c r="Q299" s="2" t="s">
        <v>366</v>
      </c>
    </row>
    <row r="300" spans="1:17" x14ac:dyDescent="0.2">
      <c r="A300" s="2" t="s">
        <v>346</v>
      </c>
      <c r="B300" s="2" t="s">
        <v>347</v>
      </c>
      <c r="D300" s="2" t="s">
        <v>348</v>
      </c>
      <c r="E300" s="2" t="s">
        <v>349</v>
      </c>
      <c r="F300" s="3">
        <v>46087.394842534719</v>
      </c>
      <c r="G300" s="2" t="s">
        <v>362</v>
      </c>
      <c r="H300" s="2" t="s">
        <v>363</v>
      </c>
      <c r="I300" s="2" t="s">
        <v>364</v>
      </c>
      <c r="J300" s="3" t="s">
        <v>95</v>
      </c>
      <c r="K300" s="2" t="s">
        <v>353</v>
      </c>
      <c r="L300" s="2"/>
      <c r="M300" s="2" t="s">
        <v>354</v>
      </c>
      <c r="N300" s="2">
        <v>-3217</v>
      </c>
      <c r="P300" s="2" t="s">
        <v>365</v>
      </c>
      <c r="Q300" s="2" t="s">
        <v>366</v>
      </c>
    </row>
    <row r="301" spans="1:17" x14ac:dyDescent="0.2">
      <c r="A301" s="2" t="s">
        <v>346</v>
      </c>
      <c r="B301" s="2" t="s">
        <v>347</v>
      </c>
      <c r="D301" s="2" t="s">
        <v>348</v>
      </c>
      <c r="E301" s="2" t="s">
        <v>349</v>
      </c>
      <c r="F301" s="3">
        <v>46087.395447314811</v>
      </c>
      <c r="G301" s="2" t="s">
        <v>362</v>
      </c>
      <c r="H301" s="2" t="s">
        <v>363</v>
      </c>
      <c r="I301" s="2" t="s">
        <v>364</v>
      </c>
      <c r="J301" s="3" t="s">
        <v>95</v>
      </c>
      <c r="K301" s="2" t="s">
        <v>353</v>
      </c>
      <c r="L301" s="2"/>
      <c r="M301" s="2" t="s">
        <v>354</v>
      </c>
      <c r="N301" s="2">
        <v>4977</v>
      </c>
      <c r="P301" s="2" t="s">
        <v>365</v>
      </c>
      <c r="Q301" s="2" t="s">
        <v>366</v>
      </c>
    </row>
    <row r="302" spans="1:17" x14ac:dyDescent="0.2">
      <c r="A302" s="2" t="s">
        <v>346</v>
      </c>
      <c r="B302" s="2" t="s">
        <v>347</v>
      </c>
      <c r="D302" s="2" t="s">
        <v>348</v>
      </c>
      <c r="E302" s="2" t="s">
        <v>349</v>
      </c>
      <c r="F302" s="3">
        <v>46087.395482129628</v>
      </c>
      <c r="G302" s="2" t="s">
        <v>362</v>
      </c>
      <c r="H302" s="2" t="s">
        <v>363</v>
      </c>
      <c r="I302" s="2" t="s">
        <v>364</v>
      </c>
      <c r="J302" s="3" t="s">
        <v>95</v>
      </c>
      <c r="K302" s="2" t="s">
        <v>353</v>
      </c>
      <c r="L302" s="2"/>
      <c r="M302" s="2" t="s">
        <v>354</v>
      </c>
      <c r="N302" s="2">
        <v>33192</v>
      </c>
      <c r="P302" s="2" t="s">
        <v>365</v>
      </c>
      <c r="Q302" s="2" t="s">
        <v>366</v>
      </c>
    </row>
    <row r="303" spans="1:17" x14ac:dyDescent="0.2">
      <c r="A303" s="2" t="s">
        <v>346</v>
      </c>
      <c r="B303" s="2" t="s">
        <v>347</v>
      </c>
      <c r="D303" s="2" t="s">
        <v>348</v>
      </c>
      <c r="E303" s="2" t="s">
        <v>349</v>
      </c>
      <c r="F303" s="3">
        <v>46087.395564050923</v>
      </c>
      <c r="G303" s="2" t="s">
        <v>350</v>
      </c>
      <c r="H303" s="2" t="s">
        <v>351</v>
      </c>
      <c r="I303" s="2" t="s">
        <v>352</v>
      </c>
      <c r="J303" s="3" t="s">
        <v>95</v>
      </c>
      <c r="K303" s="2" t="s">
        <v>353</v>
      </c>
      <c r="L303" s="2"/>
      <c r="M303" s="2" t="s">
        <v>354</v>
      </c>
      <c r="N303" s="2">
        <v>63.535000000000004</v>
      </c>
      <c r="P303" s="2" t="s">
        <v>355</v>
      </c>
      <c r="Q303" s="2" t="s">
        <v>356</v>
      </c>
    </row>
    <row r="304" spans="1:17" x14ac:dyDescent="0.2">
      <c r="A304" s="2" t="s">
        <v>346</v>
      </c>
      <c r="B304" s="2" t="s">
        <v>347</v>
      </c>
      <c r="D304" s="2" t="s">
        <v>348</v>
      </c>
      <c r="E304" s="2" t="s">
        <v>349</v>
      </c>
      <c r="F304" s="3">
        <v>46087.395853726855</v>
      </c>
      <c r="G304" s="2" t="s">
        <v>362</v>
      </c>
      <c r="H304" s="2" t="s">
        <v>363</v>
      </c>
      <c r="I304" s="2" t="s">
        <v>364</v>
      </c>
      <c r="J304" s="3" t="s">
        <v>95</v>
      </c>
      <c r="K304" s="2" t="s">
        <v>353</v>
      </c>
      <c r="L304" s="2"/>
      <c r="M304" s="2" t="s">
        <v>354</v>
      </c>
      <c r="N304" s="2">
        <v>-3764</v>
      </c>
      <c r="P304" s="2" t="s">
        <v>365</v>
      </c>
      <c r="Q304" s="2" t="s">
        <v>366</v>
      </c>
    </row>
    <row r="305" spans="1:17" x14ac:dyDescent="0.2">
      <c r="A305" s="2" t="s">
        <v>346</v>
      </c>
      <c r="B305" s="2" t="s">
        <v>347</v>
      </c>
      <c r="D305" s="2" t="s">
        <v>348</v>
      </c>
      <c r="E305" s="2" t="s">
        <v>349</v>
      </c>
      <c r="F305" s="3">
        <v>46087.395935196757</v>
      </c>
      <c r="G305" s="2" t="s">
        <v>362</v>
      </c>
      <c r="H305" s="2" t="s">
        <v>363</v>
      </c>
      <c r="I305" s="2" t="s">
        <v>364</v>
      </c>
      <c r="J305" s="3" t="s">
        <v>95</v>
      </c>
      <c r="K305" s="2" t="s">
        <v>353</v>
      </c>
      <c r="L305" s="2"/>
      <c r="M305" s="2" t="s">
        <v>354</v>
      </c>
      <c r="N305" s="2">
        <v>25133</v>
      </c>
      <c r="P305" s="2" t="s">
        <v>365</v>
      </c>
      <c r="Q305" s="2" t="s">
        <v>366</v>
      </c>
    </row>
    <row r="306" spans="1:17" x14ac:dyDescent="0.2">
      <c r="A306" s="2" t="s">
        <v>346</v>
      </c>
      <c r="B306" s="2" t="s">
        <v>347</v>
      </c>
      <c r="D306" s="2" t="s">
        <v>348</v>
      </c>
      <c r="E306" s="2" t="s">
        <v>349</v>
      </c>
      <c r="F306" s="3">
        <v>46087.396132997688</v>
      </c>
      <c r="G306" s="2" t="s">
        <v>362</v>
      </c>
      <c r="H306" s="2" t="s">
        <v>363</v>
      </c>
      <c r="I306" s="2" t="s">
        <v>364</v>
      </c>
      <c r="J306" s="3" t="s">
        <v>95</v>
      </c>
      <c r="K306" s="2" t="s">
        <v>353</v>
      </c>
      <c r="L306" s="2"/>
      <c r="M306" s="2" t="s">
        <v>354</v>
      </c>
      <c r="N306" s="2">
        <v>-19126</v>
      </c>
      <c r="P306" s="2" t="s">
        <v>365</v>
      </c>
      <c r="Q306" s="2" t="s">
        <v>366</v>
      </c>
    </row>
    <row r="307" spans="1:17" x14ac:dyDescent="0.2">
      <c r="A307" s="2" t="s">
        <v>346</v>
      </c>
      <c r="B307" s="2" t="s">
        <v>347</v>
      </c>
      <c r="D307" s="2" t="s">
        <v>348</v>
      </c>
      <c r="E307" s="2" t="s">
        <v>349</v>
      </c>
      <c r="F307" s="3">
        <v>46087.39624923611</v>
      </c>
      <c r="G307" s="2" t="s">
        <v>362</v>
      </c>
      <c r="H307" s="2" t="s">
        <v>363</v>
      </c>
      <c r="I307" s="2" t="s">
        <v>364</v>
      </c>
      <c r="J307" s="3" t="s">
        <v>95</v>
      </c>
      <c r="K307" s="2" t="s">
        <v>353</v>
      </c>
      <c r="L307" s="2"/>
      <c r="M307" s="2" t="s">
        <v>354</v>
      </c>
      <c r="N307" s="2">
        <v>26662</v>
      </c>
      <c r="P307" s="2" t="s">
        <v>365</v>
      </c>
      <c r="Q307" s="2" t="s">
        <v>366</v>
      </c>
    </row>
    <row r="308" spans="1:17" x14ac:dyDescent="0.2">
      <c r="A308" s="2" t="s">
        <v>346</v>
      </c>
      <c r="B308" s="2" t="s">
        <v>347</v>
      </c>
      <c r="D308" s="2" t="s">
        <v>348</v>
      </c>
      <c r="E308" s="2" t="s">
        <v>349</v>
      </c>
      <c r="F308" s="3">
        <v>46087.396319085645</v>
      </c>
      <c r="G308" s="2" t="s">
        <v>362</v>
      </c>
      <c r="H308" s="2" t="s">
        <v>363</v>
      </c>
      <c r="I308" s="2" t="s">
        <v>364</v>
      </c>
      <c r="J308" s="3" t="s">
        <v>95</v>
      </c>
      <c r="K308" s="2" t="s">
        <v>353</v>
      </c>
      <c r="L308" s="2"/>
      <c r="M308" s="2" t="s">
        <v>354</v>
      </c>
      <c r="N308" s="2">
        <v>-4111</v>
      </c>
      <c r="P308" s="2" t="s">
        <v>365</v>
      </c>
      <c r="Q308" s="2" t="s">
        <v>366</v>
      </c>
    </row>
    <row r="309" spans="1:17" x14ac:dyDescent="0.2">
      <c r="A309" s="2" t="s">
        <v>346</v>
      </c>
      <c r="B309" s="2" t="s">
        <v>347</v>
      </c>
      <c r="D309" s="2" t="s">
        <v>348</v>
      </c>
      <c r="E309" s="2" t="s">
        <v>349</v>
      </c>
      <c r="F309" s="3">
        <v>46087.396377314813</v>
      </c>
      <c r="G309" s="2" t="s">
        <v>362</v>
      </c>
      <c r="H309" s="2" t="s">
        <v>363</v>
      </c>
      <c r="I309" s="2" t="s">
        <v>364</v>
      </c>
      <c r="J309" s="3" t="s">
        <v>95</v>
      </c>
      <c r="K309" s="2" t="s">
        <v>353</v>
      </c>
      <c r="L309" s="2"/>
      <c r="M309" s="2" t="s">
        <v>354</v>
      </c>
      <c r="N309" s="2">
        <v>27056</v>
      </c>
      <c r="P309" s="2" t="s">
        <v>365</v>
      </c>
      <c r="Q309" s="2" t="s">
        <v>366</v>
      </c>
    </row>
    <row r="310" spans="1:17" x14ac:dyDescent="0.2">
      <c r="A310" s="2" t="s">
        <v>346</v>
      </c>
      <c r="B310" s="2" t="s">
        <v>347</v>
      </c>
      <c r="D310" s="2" t="s">
        <v>348</v>
      </c>
      <c r="E310" s="2" t="s">
        <v>349</v>
      </c>
      <c r="F310" s="3">
        <v>46087.396481840275</v>
      </c>
      <c r="G310" s="2" t="s">
        <v>362</v>
      </c>
      <c r="H310" s="2" t="s">
        <v>363</v>
      </c>
      <c r="I310" s="2" t="s">
        <v>364</v>
      </c>
      <c r="J310" s="3" t="s">
        <v>95</v>
      </c>
      <c r="K310" s="2" t="s">
        <v>353</v>
      </c>
      <c r="L310" s="2"/>
      <c r="M310" s="2" t="s">
        <v>354</v>
      </c>
      <c r="N310" s="2">
        <v>-3026</v>
      </c>
      <c r="P310" s="2" t="s">
        <v>365</v>
      </c>
      <c r="Q310" s="2" t="s">
        <v>366</v>
      </c>
    </row>
    <row r="311" spans="1:17" x14ac:dyDescent="0.2">
      <c r="A311" s="2" t="s">
        <v>346</v>
      </c>
      <c r="B311" s="2" t="s">
        <v>347</v>
      </c>
      <c r="D311" s="2" t="s">
        <v>348</v>
      </c>
      <c r="E311" s="2" t="s">
        <v>349</v>
      </c>
      <c r="F311" s="3">
        <v>46087.396866365743</v>
      </c>
      <c r="G311" s="2" t="s">
        <v>362</v>
      </c>
      <c r="H311" s="2" t="s">
        <v>363</v>
      </c>
      <c r="I311" s="2" t="s">
        <v>364</v>
      </c>
      <c r="J311" s="3" t="s">
        <v>95</v>
      </c>
      <c r="K311" s="2" t="s">
        <v>353</v>
      </c>
      <c r="L311" s="2"/>
      <c r="M311" s="2" t="s">
        <v>354</v>
      </c>
      <c r="N311" s="2">
        <v>-6990</v>
      </c>
      <c r="P311" s="2" t="s">
        <v>365</v>
      </c>
      <c r="Q311" s="2" t="s">
        <v>366</v>
      </c>
    </row>
    <row r="312" spans="1:17" x14ac:dyDescent="0.2">
      <c r="A312" s="2" t="s">
        <v>346</v>
      </c>
      <c r="B312" s="2" t="s">
        <v>347</v>
      </c>
      <c r="D312" s="2" t="s">
        <v>348</v>
      </c>
      <c r="E312" s="2" t="s">
        <v>349</v>
      </c>
      <c r="F312" s="3">
        <v>46087.396994270835</v>
      </c>
      <c r="G312" s="2" t="s">
        <v>362</v>
      </c>
      <c r="H312" s="2" t="s">
        <v>363</v>
      </c>
      <c r="I312" s="2" t="s">
        <v>364</v>
      </c>
      <c r="J312" s="3" t="s">
        <v>95</v>
      </c>
      <c r="K312" s="2" t="s">
        <v>353</v>
      </c>
      <c r="L312" s="2"/>
      <c r="M312" s="2" t="s">
        <v>354</v>
      </c>
      <c r="N312" s="2">
        <v>29820</v>
      </c>
      <c r="P312" s="2" t="s">
        <v>365</v>
      </c>
      <c r="Q312" s="2" t="s">
        <v>366</v>
      </c>
    </row>
    <row r="313" spans="1:17" x14ac:dyDescent="0.2">
      <c r="A313" s="2" t="s">
        <v>346</v>
      </c>
      <c r="B313" s="2" t="s">
        <v>347</v>
      </c>
      <c r="D313" s="2" t="s">
        <v>348</v>
      </c>
      <c r="E313" s="2" t="s">
        <v>349</v>
      </c>
      <c r="F313" s="3">
        <v>46087.397156979168</v>
      </c>
      <c r="G313" s="2" t="s">
        <v>362</v>
      </c>
      <c r="H313" s="2" t="s">
        <v>363</v>
      </c>
      <c r="I313" s="2" t="s">
        <v>364</v>
      </c>
      <c r="J313" s="3" t="s">
        <v>95</v>
      </c>
      <c r="K313" s="2" t="s">
        <v>353</v>
      </c>
      <c r="L313" s="2"/>
      <c r="M313" s="2" t="s">
        <v>354</v>
      </c>
      <c r="N313" s="2">
        <v>3575</v>
      </c>
      <c r="P313" s="2" t="s">
        <v>365</v>
      </c>
      <c r="Q313" s="2" t="s">
        <v>366</v>
      </c>
    </row>
    <row r="314" spans="1:17" x14ac:dyDescent="0.2">
      <c r="A314" s="2" t="s">
        <v>346</v>
      </c>
      <c r="B314" s="2" t="s">
        <v>347</v>
      </c>
      <c r="D314" s="2" t="s">
        <v>348</v>
      </c>
      <c r="E314" s="2" t="s">
        <v>349</v>
      </c>
      <c r="F314" s="3">
        <v>46087.397188634262</v>
      </c>
      <c r="G314" s="2" t="s">
        <v>350</v>
      </c>
      <c r="H314" s="2" t="s">
        <v>351</v>
      </c>
      <c r="I314" s="2" t="s">
        <v>352</v>
      </c>
      <c r="J314" s="3" t="s">
        <v>95</v>
      </c>
      <c r="K314" s="2" t="s">
        <v>353</v>
      </c>
      <c r="L314" s="2"/>
      <c r="M314" s="2" t="s">
        <v>354</v>
      </c>
      <c r="N314" s="2">
        <v>62.440000000000005</v>
      </c>
      <c r="P314" s="2" t="s">
        <v>355</v>
      </c>
      <c r="Q314" s="2" t="s">
        <v>356</v>
      </c>
    </row>
    <row r="315" spans="1:17" x14ac:dyDescent="0.2">
      <c r="A315" s="2" t="s">
        <v>346</v>
      </c>
      <c r="B315" s="2" t="s">
        <v>347</v>
      </c>
      <c r="D315" s="2" t="s">
        <v>348</v>
      </c>
      <c r="E315" s="2" t="s">
        <v>349</v>
      </c>
      <c r="F315" s="3">
        <v>46087.398307835647</v>
      </c>
      <c r="G315" s="2" t="s">
        <v>362</v>
      </c>
      <c r="H315" s="2" t="s">
        <v>363</v>
      </c>
      <c r="I315" s="2" t="s">
        <v>364</v>
      </c>
      <c r="J315" s="3" t="s">
        <v>95</v>
      </c>
      <c r="K315" s="2" t="s">
        <v>353</v>
      </c>
      <c r="L315" s="2"/>
      <c r="M315" s="2" t="s">
        <v>354</v>
      </c>
      <c r="N315" s="2">
        <v>24214</v>
      </c>
      <c r="P315" s="2" t="s">
        <v>365</v>
      </c>
      <c r="Q315" s="2" t="s">
        <v>366</v>
      </c>
    </row>
    <row r="316" spans="1:17" x14ac:dyDescent="0.2">
      <c r="A316" s="2" t="s">
        <v>346</v>
      </c>
      <c r="B316" s="2" t="s">
        <v>347</v>
      </c>
      <c r="D316" s="2" t="s">
        <v>348</v>
      </c>
      <c r="E316" s="2" t="s">
        <v>349</v>
      </c>
      <c r="F316" s="3">
        <v>46087.398346307869</v>
      </c>
      <c r="G316" s="2" t="s">
        <v>350</v>
      </c>
      <c r="H316" s="2" t="s">
        <v>351</v>
      </c>
      <c r="I316" s="2" t="s">
        <v>352</v>
      </c>
      <c r="J316" s="3" t="s">
        <v>95</v>
      </c>
      <c r="K316" s="2" t="s">
        <v>353</v>
      </c>
      <c r="L316" s="2"/>
      <c r="M316" s="2" t="s">
        <v>354</v>
      </c>
      <c r="N316" s="2">
        <v>61.22</v>
      </c>
      <c r="P316" s="2" t="s">
        <v>355</v>
      </c>
      <c r="Q316" s="2" t="s">
        <v>356</v>
      </c>
    </row>
    <row r="317" spans="1:17" x14ac:dyDescent="0.2">
      <c r="A317" s="2" t="s">
        <v>346</v>
      </c>
      <c r="B317" s="2" t="s">
        <v>347</v>
      </c>
      <c r="D317" s="2" t="s">
        <v>348</v>
      </c>
      <c r="E317" s="2" t="s">
        <v>349</v>
      </c>
      <c r="F317" s="3">
        <v>46087.398400972219</v>
      </c>
      <c r="G317" s="2" t="s">
        <v>362</v>
      </c>
      <c r="H317" s="2" t="s">
        <v>363</v>
      </c>
      <c r="I317" s="2" t="s">
        <v>364</v>
      </c>
      <c r="J317" s="3" t="s">
        <v>95</v>
      </c>
      <c r="K317" s="2" t="s">
        <v>353</v>
      </c>
      <c r="L317" s="2"/>
      <c r="M317" s="2" t="s">
        <v>354</v>
      </c>
      <c r="N317" s="2">
        <v>-13725</v>
      </c>
      <c r="P317" s="2" t="s">
        <v>365</v>
      </c>
      <c r="Q317" s="2" t="s">
        <v>366</v>
      </c>
    </row>
    <row r="318" spans="1:17" x14ac:dyDescent="0.2">
      <c r="A318" s="2" t="s">
        <v>346</v>
      </c>
      <c r="B318" s="2" t="s">
        <v>347</v>
      </c>
      <c r="D318" s="2" t="s">
        <v>348</v>
      </c>
      <c r="E318" s="2" t="s">
        <v>349</v>
      </c>
      <c r="F318" s="3">
        <v>46087.398598541666</v>
      </c>
      <c r="G318" s="2" t="s">
        <v>362</v>
      </c>
      <c r="H318" s="2" t="s">
        <v>363</v>
      </c>
      <c r="I318" s="2" t="s">
        <v>364</v>
      </c>
      <c r="J318" s="3" t="s">
        <v>95</v>
      </c>
      <c r="K318" s="2" t="s">
        <v>353</v>
      </c>
      <c r="L318" s="2"/>
      <c r="M318" s="2" t="s">
        <v>354</v>
      </c>
      <c r="N318" s="2">
        <v>18611</v>
      </c>
      <c r="P318" s="2" t="s">
        <v>365</v>
      </c>
      <c r="Q318" s="2" t="s">
        <v>366</v>
      </c>
    </row>
    <row r="319" spans="1:17" x14ac:dyDescent="0.2">
      <c r="A319" s="2" t="s">
        <v>346</v>
      </c>
      <c r="B319" s="2" t="s">
        <v>347</v>
      </c>
      <c r="D319" s="2" t="s">
        <v>348</v>
      </c>
      <c r="E319" s="2" t="s">
        <v>349</v>
      </c>
      <c r="F319" s="3">
        <v>46087.398993738425</v>
      </c>
      <c r="G319" s="2" t="s">
        <v>362</v>
      </c>
      <c r="H319" s="2" t="s">
        <v>363</v>
      </c>
      <c r="I319" s="2" t="s">
        <v>364</v>
      </c>
      <c r="J319" s="3" t="s">
        <v>95</v>
      </c>
      <c r="K319" s="2" t="s">
        <v>353</v>
      </c>
      <c r="L319" s="2"/>
      <c r="M319" s="2" t="s">
        <v>354</v>
      </c>
      <c r="N319" s="2">
        <v>-12121</v>
      </c>
      <c r="P319" s="2" t="s">
        <v>365</v>
      </c>
      <c r="Q319" s="2" t="s">
        <v>366</v>
      </c>
    </row>
    <row r="320" spans="1:17" x14ac:dyDescent="0.2">
      <c r="A320" s="2" t="s">
        <v>346</v>
      </c>
      <c r="B320" s="2" t="s">
        <v>347</v>
      </c>
      <c r="D320" s="2" t="s">
        <v>348</v>
      </c>
      <c r="E320" s="2" t="s">
        <v>349</v>
      </c>
      <c r="F320" s="3">
        <v>46087.399052233799</v>
      </c>
      <c r="G320" s="2" t="s">
        <v>362</v>
      </c>
      <c r="H320" s="2" t="s">
        <v>363</v>
      </c>
      <c r="I320" s="2" t="s">
        <v>364</v>
      </c>
      <c r="J320" s="3" t="s">
        <v>95</v>
      </c>
      <c r="K320" s="2" t="s">
        <v>353</v>
      </c>
      <c r="L320" s="2"/>
      <c r="M320" s="2" t="s">
        <v>354</v>
      </c>
      <c r="N320" s="2">
        <v>20263</v>
      </c>
      <c r="P320" s="2" t="s">
        <v>365</v>
      </c>
      <c r="Q320" s="2" t="s">
        <v>366</v>
      </c>
    </row>
    <row r="321" spans="1:17" x14ac:dyDescent="0.2">
      <c r="A321" s="2" t="s">
        <v>346</v>
      </c>
      <c r="B321" s="2" t="s">
        <v>347</v>
      </c>
      <c r="D321" s="2" t="s">
        <v>348</v>
      </c>
      <c r="E321" s="2" t="s">
        <v>349</v>
      </c>
      <c r="F321" s="3">
        <v>46087.399273090276</v>
      </c>
      <c r="G321" s="2" t="s">
        <v>362</v>
      </c>
      <c r="H321" s="2" t="s">
        <v>363</v>
      </c>
      <c r="I321" s="2" t="s">
        <v>364</v>
      </c>
      <c r="J321" s="3" t="s">
        <v>95</v>
      </c>
      <c r="K321" s="2" t="s">
        <v>353</v>
      </c>
      <c r="L321" s="2"/>
      <c r="M321" s="2" t="s">
        <v>354</v>
      </c>
      <c r="N321" s="2">
        <v>-5355</v>
      </c>
      <c r="P321" s="2" t="s">
        <v>365</v>
      </c>
      <c r="Q321" s="2" t="s">
        <v>366</v>
      </c>
    </row>
    <row r="322" spans="1:17" x14ac:dyDescent="0.2">
      <c r="A322" s="2" t="s">
        <v>346</v>
      </c>
      <c r="B322" s="2" t="s">
        <v>347</v>
      </c>
      <c r="D322" s="2" t="s">
        <v>348</v>
      </c>
      <c r="E322" s="2" t="s">
        <v>349</v>
      </c>
      <c r="F322" s="3">
        <v>46087.399319618053</v>
      </c>
      <c r="G322" s="2" t="s">
        <v>362</v>
      </c>
      <c r="H322" s="2" t="s">
        <v>363</v>
      </c>
      <c r="I322" s="2" t="s">
        <v>364</v>
      </c>
      <c r="J322" s="3" t="s">
        <v>95</v>
      </c>
      <c r="K322" s="2" t="s">
        <v>353</v>
      </c>
      <c r="L322" s="2"/>
      <c r="M322" s="2" t="s">
        <v>354</v>
      </c>
      <c r="N322" s="2">
        <v>23496</v>
      </c>
      <c r="P322" s="2" t="s">
        <v>365</v>
      </c>
      <c r="Q322" s="2" t="s">
        <v>366</v>
      </c>
    </row>
    <row r="323" spans="1:17" x14ac:dyDescent="0.2">
      <c r="A323" s="2" t="s">
        <v>346</v>
      </c>
      <c r="B323" s="2" t="s">
        <v>347</v>
      </c>
      <c r="D323" s="2" t="s">
        <v>348</v>
      </c>
      <c r="E323" s="2" t="s">
        <v>349</v>
      </c>
      <c r="F323" s="3">
        <v>46087.399738368054</v>
      </c>
      <c r="G323" s="2" t="s">
        <v>350</v>
      </c>
      <c r="H323" s="2" t="s">
        <v>351</v>
      </c>
      <c r="I323" s="2" t="s">
        <v>352</v>
      </c>
      <c r="J323" s="3" t="s">
        <v>95</v>
      </c>
      <c r="K323" s="2" t="s">
        <v>353</v>
      </c>
      <c r="L323" s="2"/>
      <c r="M323" s="2" t="s">
        <v>354</v>
      </c>
      <c r="N323" s="2">
        <v>60.120000000000005</v>
      </c>
      <c r="P323" s="2" t="s">
        <v>355</v>
      </c>
      <c r="Q323" s="2" t="s">
        <v>356</v>
      </c>
    </row>
    <row r="324" spans="1:17" x14ac:dyDescent="0.2">
      <c r="A324" s="2" t="s">
        <v>346</v>
      </c>
      <c r="B324" s="2" t="s">
        <v>347</v>
      </c>
      <c r="D324" s="2" t="s">
        <v>348</v>
      </c>
      <c r="E324" s="2" t="s">
        <v>349</v>
      </c>
      <c r="F324" s="3">
        <v>46087.399842118059</v>
      </c>
      <c r="G324" s="2" t="s">
        <v>362</v>
      </c>
      <c r="H324" s="2" t="s">
        <v>363</v>
      </c>
      <c r="I324" s="2" t="s">
        <v>364</v>
      </c>
      <c r="J324" s="3" t="s">
        <v>95</v>
      </c>
      <c r="K324" s="2" t="s">
        <v>353</v>
      </c>
      <c r="L324" s="2"/>
      <c r="M324" s="2" t="s">
        <v>354</v>
      </c>
      <c r="N324" s="2">
        <v>38857</v>
      </c>
      <c r="P324" s="2" t="s">
        <v>365</v>
      </c>
      <c r="Q324" s="2" t="s">
        <v>366</v>
      </c>
    </row>
    <row r="325" spans="1:17" x14ac:dyDescent="0.2">
      <c r="A325" s="2" t="s">
        <v>346</v>
      </c>
      <c r="B325" s="2" t="s">
        <v>347</v>
      </c>
      <c r="D325" s="2" t="s">
        <v>348</v>
      </c>
      <c r="E325" s="2" t="s">
        <v>349</v>
      </c>
      <c r="F325" s="3">
        <v>46087.399923506942</v>
      </c>
      <c r="G325" s="2" t="s">
        <v>362</v>
      </c>
      <c r="H325" s="2" t="s">
        <v>363</v>
      </c>
      <c r="I325" s="2" t="s">
        <v>364</v>
      </c>
      <c r="J325" s="3" t="s">
        <v>95</v>
      </c>
      <c r="K325" s="2" t="s">
        <v>353</v>
      </c>
      <c r="L325" s="2"/>
      <c r="M325" s="2" t="s">
        <v>354</v>
      </c>
      <c r="N325" s="2">
        <v>-3353</v>
      </c>
      <c r="P325" s="2" t="s">
        <v>365</v>
      </c>
      <c r="Q325" s="2" t="s">
        <v>366</v>
      </c>
    </row>
    <row r="326" spans="1:17" x14ac:dyDescent="0.2">
      <c r="A326" s="2" t="s">
        <v>346</v>
      </c>
      <c r="B326" s="2" t="s">
        <v>347</v>
      </c>
      <c r="D326" s="2" t="s">
        <v>348</v>
      </c>
      <c r="E326" s="2" t="s">
        <v>349</v>
      </c>
      <c r="F326" s="3">
        <v>46087.400120891201</v>
      </c>
      <c r="G326" s="2" t="s">
        <v>362</v>
      </c>
      <c r="H326" s="2" t="s">
        <v>363</v>
      </c>
      <c r="I326" s="2" t="s">
        <v>364</v>
      </c>
      <c r="J326" s="3" t="s">
        <v>95</v>
      </c>
      <c r="K326" s="2" t="s">
        <v>353</v>
      </c>
      <c r="L326" s="2"/>
      <c r="M326" s="2" t="s">
        <v>354</v>
      </c>
      <c r="N326" s="2">
        <v>35350</v>
      </c>
      <c r="P326" s="2" t="s">
        <v>365</v>
      </c>
      <c r="Q326" s="2" t="s">
        <v>366</v>
      </c>
    </row>
    <row r="327" spans="1:17" x14ac:dyDescent="0.2">
      <c r="A327" s="2" t="s">
        <v>346</v>
      </c>
      <c r="B327" s="2" t="s">
        <v>347</v>
      </c>
      <c r="D327" s="2" t="s">
        <v>348</v>
      </c>
      <c r="E327" s="2" t="s">
        <v>349</v>
      </c>
      <c r="F327" s="3">
        <v>46087.400411145834</v>
      </c>
      <c r="G327" s="2" t="s">
        <v>357</v>
      </c>
      <c r="H327" s="2" t="s">
        <v>358</v>
      </c>
      <c r="I327" s="2" t="s">
        <v>359</v>
      </c>
      <c r="J327" s="3" t="s">
        <v>95</v>
      </c>
      <c r="K327" s="2" t="s">
        <v>353</v>
      </c>
      <c r="L327" s="2"/>
      <c r="M327" s="2" t="s">
        <v>354</v>
      </c>
      <c r="N327" s="2">
        <v>347.5</v>
      </c>
      <c r="P327" s="2" t="s">
        <v>360</v>
      </c>
      <c r="Q327" s="2" t="s">
        <v>361</v>
      </c>
    </row>
    <row r="328" spans="1:17" x14ac:dyDescent="0.2">
      <c r="A328" s="2" t="s">
        <v>346</v>
      </c>
      <c r="B328" s="2" t="s">
        <v>347</v>
      </c>
      <c r="D328" s="2" t="s">
        <v>348</v>
      </c>
      <c r="E328" s="2" t="s">
        <v>349</v>
      </c>
      <c r="F328" s="3">
        <v>46087.400435740739</v>
      </c>
      <c r="G328" s="2" t="s">
        <v>350</v>
      </c>
      <c r="H328" s="2" t="s">
        <v>351</v>
      </c>
      <c r="I328" s="2" t="s">
        <v>352</v>
      </c>
      <c r="J328" s="3" t="s">
        <v>95</v>
      </c>
      <c r="K328" s="2" t="s">
        <v>353</v>
      </c>
      <c r="L328" s="2"/>
      <c r="M328" s="2" t="s">
        <v>354</v>
      </c>
      <c r="N328" s="2">
        <v>58.660000000000004</v>
      </c>
      <c r="P328" s="2" t="s">
        <v>355</v>
      </c>
      <c r="Q328" s="2" t="s">
        <v>356</v>
      </c>
    </row>
    <row r="329" spans="1:17" x14ac:dyDescent="0.2">
      <c r="A329" s="2" t="s">
        <v>346</v>
      </c>
      <c r="B329" s="2" t="s">
        <v>347</v>
      </c>
      <c r="D329" s="2" t="s">
        <v>348</v>
      </c>
      <c r="E329" s="2" t="s">
        <v>349</v>
      </c>
      <c r="F329" s="3">
        <v>46087.400527928243</v>
      </c>
      <c r="G329" s="2" t="s">
        <v>362</v>
      </c>
      <c r="H329" s="2" t="s">
        <v>363</v>
      </c>
      <c r="I329" s="2" t="s">
        <v>364</v>
      </c>
      <c r="J329" s="3" t="s">
        <v>95</v>
      </c>
      <c r="K329" s="2" t="s">
        <v>353</v>
      </c>
      <c r="L329" s="2"/>
      <c r="M329" s="2" t="s">
        <v>354</v>
      </c>
      <c r="N329" s="2">
        <v>35050</v>
      </c>
      <c r="P329" s="2" t="s">
        <v>365</v>
      </c>
      <c r="Q329" s="2" t="s">
        <v>366</v>
      </c>
    </row>
    <row r="330" spans="1:17" x14ac:dyDescent="0.2">
      <c r="A330" s="2" t="s">
        <v>346</v>
      </c>
      <c r="B330" s="2" t="s">
        <v>347</v>
      </c>
      <c r="D330" s="2" t="s">
        <v>348</v>
      </c>
      <c r="E330" s="2" t="s">
        <v>349</v>
      </c>
      <c r="F330" s="3">
        <v>46087.400609722223</v>
      </c>
      <c r="G330" s="2" t="s">
        <v>362</v>
      </c>
      <c r="H330" s="2" t="s">
        <v>363</v>
      </c>
      <c r="I330" s="2" t="s">
        <v>364</v>
      </c>
      <c r="J330" s="3" t="s">
        <v>95</v>
      </c>
      <c r="K330" s="2" t="s">
        <v>353</v>
      </c>
      <c r="L330" s="2"/>
      <c r="M330" s="2" t="s">
        <v>354</v>
      </c>
      <c r="N330" s="2">
        <v>-39648</v>
      </c>
      <c r="P330" s="2" t="s">
        <v>365</v>
      </c>
      <c r="Q330" s="2" t="s">
        <v>366</v>
      </c>
    </row>
    <row r="331" spans="1:17" x14ac:dyDescent="0.2">
      <c r="A331" s="2" t="s">
        <v>346</v>
      </c>
      <c r="B331" s="2" t="s">
        <v>347</v>
      </c>
      <c r="D331" s="2" t="s">
        <v>348</v>
      </c>
      <c r="E331" s="2" t="s">
        <v>349</v>
      </c>
      <c r="F331" s="3">
        <v>46087.400632962963</v>
      </c>
      <c r="G331" s="2" t="s">
        <v>362</v>
      </c>
      <c r="H331" s="2" t="s">
        <v>363</v>
      </c>
      <c r="I331" s="2" t="s">
        <v>364</v>
      </c>
      <c r="J331" s="3" t="s">
        <v>95</v>
      </c>
      <c r="K331" s="2" t="s">
        <v>353</v>
      </c>
      <c r="L331" s="2"/>
      <c r="M331" s="2" t="s">
        <v>354</v>
      </c>
      <c r="N331" s="2">
        <v>-11875</v>
      </c>
      <c r="P331" s="2" t="s">
        <v>365</v>
      </c>
      <c r="Q331" s="2" t="s">
        <v>366</v>
      </c>
    </row>
    <row r="332" spans="1:17" x14ac:dyDescent="0.2">
      <c r="A332" s="2" t="s">
        <v>346</v>
      </c>
      <c r="B332" s="2" t="s">
        <v>347</v>
      </c>
      <c r="D332" s="2" t="s">
        <v>348</v>
      </c>
      <c r="E332" s="2" t="s">
        <v>349</v>
      </c>
      <c r="F332" s="3">
        <v>46087.40065614583</v>
      </c>
      <c r="G332" s="2" t="s">
        <v>362</v>
      </c>
      <c r="H332" s="2" t="s">
        <v>363</v>
      </c>
      <c r="I332" s="2" t="s">
        <v>364</v>
      </c>
      <c r="J332" s="3" t="s">
        <v>95</v>
      </c>
      <c r="K332" s="2" t="s">
        <v>353</v>
      </c>
      <c r="L332" s="2"/>
      <c r="M332" s="2" t="s">
        <v>354</v>
      </c>
      <c r="N332" s="2">
        <v>-42482</v>
      </c>
      <c r="P332" s="2" t="s">
        <v>365</v>
      </c>
      <c r="Q332" s="2" t="s">
        <v>366</v>
      </c>
    </row>
    <row r="333" spans="1:17" x14ac:dyDescent="0.2">
      <c r="A333" s="2" t="s">
        <v>346</v>
      </c>
      <c r="B333" s="2" t="s">
        <v>347</v>
      </c>
      <c r="D333" s="2" t="s">
        <v>348</v>
      </c>
      <c r="E333" s="2" t="s">
        <v>349</v>
      </c>
      <c r="F333" s="3">
        <v>46087.400737615739</v>
      </c>
      <c r="G333" s="2" t="s">
        <v>362</v>
      </c>
      <c r="H333" s="2" t="s">
        <v>363</v>
      </c>
      <c r="I333" s="2" t="s">
        <v>364</v>
      </c>
      <c r="J333" s="3" t="s">
        <v>95</v>
      </c>
      <c r="K333" s="2" t="s">
        <v>353</v>
      </c>
      <c r="L333" s="2"/>
      <c r="M333" s="2" t="s">
        <v>354</v>
      </c>
      <c r="N333" s="2">
        <v>27847</v>
      </c>
      <c r="P333" s="2" t="s">
        <v>365</v>
      </c>
      <c r="Q333" s="2" t="s">
        <v>366</v>
      </c>
    </row>
    <row r="334" spans="1:17" x14ac:dyDescent="0.2">
      <c r="A334" s="2" t="s">
        <v>346</v>
      </c>
      <c r="B334" s="2" t="s">
        <v>347</v>
      </c>
      <c r="D334" s="2" t="s">
        <v>348</v>
      </c>
      <c r="E334" s="2" t="s">
        <v>349</v>
      </c>
      <c r="F334" s="3">
        <v>46087.400807430553</v>
      </c>
      <c r="G334" s="2" t="s">
        <v>362</v>
      </c>
      <c r="H334" s="2" t="s">
        <v>363</v>
      </c>
      <c r="I334" s="2" t="s">
        <v>364</v>
      </c>
      <c r="J334" s="3" t="s">
        <v>95</v>
      </c>
      <c r="K334" s="2" t="s">
        <v>353</v>
      </c>
      <c r="L334" s="2"/>
      <c r="M334" s="2" t="s">
        <v>354</v>
      </c>
      <c r="N334" s="2">
        <v>35299</v>
      </c>
      <c r="P334" s="2" t="s">
        <v>365</v>
      </c>
      <c r="Q334" s="2" t="s">
        <v>366</v>
      </c>
    </row>
    <row r="335" spans="1:17" x14ac:dyDescent="0.2">
      <c r="A335" s="2" t="s">
        <v>346</v>
      </c>
      <c r="B335" s="2" t="s">
        <v>347</v>
      </c>
      <c r="D335" s="2" t="s">
        <v>348</v>
      </c>
      <c r="E335" s="2" t="s">
        <v>349</v>
      </c>
      <c r="F335" s="3">
        <v>46087.400830578707</v>
      </c>
      <c r="G335" s="2" t="s">
        <v>362</v>
      </c>
      <c r="H335" s="2" t="s">
        <v>363</v>
      </c>
      <c r="I335" s="2" t="s">
        <v>364</v>
      </c>
      <c r="J335" s="3" t="s">
        <v>95</v>
      </c>
      <c r="K335" s="2" t="s">
        <v>353</v>
      </c>
      <c r="L335" s="2"/>
      <c r="M335" s="2" t="s">
        <v>354</v>
      </c>
      <c r="N335" s="2">
        <v>-1226</v>
      </c>
      <c r="P335" s="2" t="s">
        <v>365</v>
      </c>
      <c r="Q335" s="2" t="s">
        <v>366</v>
      </c>
    </row>
    <row r="336" spans="1:17" x14ac:dyDescent="0.2">
      <c r="A336" s="2" t="s">
        <v>346</v>
      </c>
      <c r="B336" s="2" t="s">
        <v>347</v>
      </c>
      <c r="D336" s="2" t="s">
        <v>348</v>
      </c>
      <c r="E336" s="2" t="s">
        <v>349</v>
      </c>
      <c r="F336" s="3">
        <v>46087.40084224537</v>
      </c>
      <c r="G336" s="2" t="s">
        <v>362</v>
      </c>
      <c r="H336" s="2" t="s">
        <v>363</v>
      </c>
      <c r="I336" s="2" t="s">
        <v>364</v>
      </c>
      <c r="J336" s="3" t="s">
        <v>95</v>
      </c>
      <c r="K336" s="2" t="s">
        <v>353</v>
      </c>
      <c r="L336" s="2"/>
      <c r="M336" s="2" t="s">
        <v>354</v>
      </c>
      <c r="N336" s="2">
        <v>34466</v>
      </c>
      <c r="P336" s="2" t="s">
        <v>365</v>
      </c>
      <c r="Q336" s="2" t="s">
        <v>366</v>
      </c>
    </row>
    <row r="337" spans="1:17" x14ac:dyDescent="0.2">
      <c r="A337" s="2" t="s">
        <v>346</v>
      </c>
      <c r="B337" s="2" t="s">
        <v>347</v>
      </c>
      <c r="D337" s="2" t="s">
        <v>348</v>
      </c>
      <c r="E337" s="2" t="s">
        <v>349</v>
      </c>
      <c r="F337" s="3">
        <v>46087.401121504627</v>
      </c>
      <c r="G337" s="2" t="s">
        <v>362</v>
      </c>
      <c r="H337" s="2" t="s">
        <v>363</v>
      </c>
      <c r="I337" s="2" t="s">
        <v>364</v>
      </c>
      <c r="J337" s="3" t="s">
        <v>95</v>
      </c>
      <c r="K337" s="2" t="s">
        <v>353</v>
      </c>
      <c r="L337" s="2"/>
      <c r="M337" s="2" t="s">
        <v>354</v>
      </c>
      <c r="N337" s="2">
        <v>36955</v>
      </c>
      <c r="P337" s="2" t="s">
        <v>365</v>
      </c>
      <c r="Q337" s="2" t="s">
        <v>366</v>
      </c>
    </row>
    <row r="338" spans="1:17" x14ac:dyDescent="0.2">
      <c r="A338" s="2" t="s">
        <v>346</v>
      </c>
      <c r="B338" s="2" t="s">
        <v>347</v>
      </c>
      <c r="D338" s="2" t="s">
        <v>348</v>
      </c>
      <c r="E338" s="2" t="s">
        <v>349</v>
      </c>
      <c r="F338" s="3">
        <v>46087.401133761574</v>
      </c>
      <c r="G338" s="2" t="s">
        <v>350</v>
      </c>
      <c r="H338" s="2" t="s">
        <v>351</v>
      </c>
      <c r="I338" s="2" t="s">
        <v>352</v>
      </c>
      <c r="J338" s="3" t="s">
        <v>95</v>
      </c>
      <c r="K338" s="2" t="s">
        <v>353</v>
      </c>
      <c r="L338" s="2"/>
      <c r="M338" s="2" t="s">
        <v>354</v>
      </c>
      <c r="N338" s="2">
        <v>57.56</v>
      </c>
      <c r="P338" s="2" t="s">
        <v>355</v>
      </c>
      <c r="Q338" s="2" t="s">
        <v>356</v>
      </c>
    </row>
    <row r="339" spans="1:17" x14ac:dyDescent="0.2">
      <c r="A339" s="2" t="s">
        <v>346</v>
      </c>
      <c r="B339" s="2" t="s">
        <v>347</v>
      </c>
      <c r="D339" s="2" t="s">
        <v>348</v>
      </c>
      <c r="E339" s="2" t="s">
        <v>349</v>
      </c>
      <c r="F339" s="3">
        <v>46087.401144745367</v>
      </c>
      <c r="G339" s="2" t="s">
        <v>362</v>
      </c>
      <c r="H339" s="2" t="s">
        <v>363</v>
      </c>
      <c r="I339" s="2" t="s">
        <v>364</v>
      </c>
      <c r="J339" s="3" t="s">
        <v>95</v>
      </c>
      <c r="K339" s="2" t="s">
        <v>353</v>
      </c>
      <c r="L339" s="2"/>
      <c r="M339" s="2" t="s">
        <v>354</v>
      </c>
      <c r="N339" s="2">
        <v>8154</v>
      </c>
      <c r="P339" s="2" t="s">
        <v>365</v>
      </c>
      <c r="Q339" s="2" t="s">
        <v>366</v>
      </c>
    </row>
    <row r="340" spans="1:17" x14ac:dyDescent="0.2">
      <c r="A340" s="2" t="s">
        <v>346</v>
      </c>
      <c r="B340" s="2" t="s">
        <v>347</v>
      </c>
      <c r="D340" s="2" t="s">
        <v>348</v>
      </c>
      <c r="E340" s="2" t="s">
        <v>349</v>
      </c>
      <c r="F340" s="3">
        <v>46087.401342233796</v>
      </c>
      <c r="G340" s="2" t="s">
        <v>362</v>
      </c>
      <c r="H340" s="2" t="s">
        <v>363</v>
      </c>
      <c r="I340" s="2" t="s">
        <v>364</v>
      </c>
      <c r="J340" s="3" t="s">
        <v>95</v>
      </c>
      <c r="K340" s="2" t="s">
        <v>353</v>
      </c>
      <c r="L340" s="2"/>
      <c r="M340" s="2" t="s">
        <v>354</v>
      </c>
      <c r="N340" s="2">
        <v>35394</v>
      </c>
      <c r="P340" s="2" t="s">
        <v>365</v>
      </c>
      <c r="Q340" s="2" t="s">
        <v>366</v>
      </c>
    </row>
    <row r="341" spans="1:17" x14ac:dyDescent="0.2">
      <c r="A341" s="2" t="s">
        <v>346</v>
      </c>
      <c r="B341" s="2" t="s">
        <v>347</v>
      </c>
      <c r="D341" s="2" t="s">
        <v>348</v>
      </c>
      <c r="E341" s="2" t="s">
        <v>349</v>
      </c>
      <c r="F341" s="3">
        <v>46087.401377314818</v>
      </c>
      <c r="G341" s="2" t="s">
        <v>362</v>
      </c>
      <c r="H341" s="2" t="s">
        <v>363</v>
      </c>
      <c r="I341" s="2" t="s">
        <v>364</v>
      </c>
      <c r="J341" s="3" t="s">
        <v>95</v>
      </c>
      <c r="K341" s="2" t="s">
        <v>353</v>
      </c>
      <c r="L341" s="2"/>
      <c r="M341" s="2" t="s">
        <v>354</v>
      </c>
      <c r="N341" s="2">
        <v>-876</v>
      </c>
      <c r="P341" s="2" t="s">
        <v>365</v>
      </c>
      <c r="Q341" s="2" t="s">
        <v>366</v>
      </c>
    </row>
    <row r="342" spans="1:17" x14ac:dyDescent="0.2">
      <c r="A342" s="2" t="s">
        <v>346</v>
      </c>
      <c r="B342" s="2" t="s">
        <v>347</v>
      </c>
      <c r="D342" s="2" t="s">
        <v>348</v>
      </c>
      <c r="E342" s="2" t="s">
        <v>349</v>
      </c>
      <c r="F342" s="3">
        <v>46087.401412303239</v>
      </c>
      <c r="G342" s="2" t="s">
        <v>362</v>
      </c>
      <c r="H342" s="2" t="s">
        <v>363</v>
      </c>
      <c r="I342" s="2" t="s">
        <v>364</v>
      </c>
      <c r="J342" s="3" t="s">
        <v>95</v>
      </c>
      <c r="K342" s="2" t="s">
        <v>353</v>
      </c>
      <c r="L342" s="2"/>
      <c r="M342" s="2" t="s">
        <v>354</v>
      </c>
      <c r="N342" s="2">
        <v>28884</v>
      </c>
      <c r="P342" s="2" t="s">
        <v>365</v>
      </c>
      <c r="Q342" s="2" t="s">
        <v>366</v>
      </c>
    </row>
    <row r="343" spans="1:17" x14ac:dyDescent="0.2">
      <c r="A343" s="2" t="s">
        <v>346</v>
      </c>
      <c r="B343" s="2" t="s">
        <v>347</v>
      </c>
      <c r="D343" s="2" t="s">
        <v>348</v>
      </c>
      <c r="E343" s="2" t="s">
        <v>349</v>
      </c>
      <c r="F343" s="3">
        <v>46087.401447025462</v>
      </c>
      <c r="G343" s="2" t="s">
        <v>362</v>
      </c>
      <c r="H343" s="2" t="s">
        <v>363</v>
      </c>
      <c r="I343" s="2" t="s">
        <v>364</v>
      </c>
      <c r="J343" s="3" t="s">
        <v>95</v>
      </c>
      <c r="K343" s="2" t="s">
        <v>353</v>
      </c>
      <c r="L343" s="2"/>
      <c r="M343" s="2" t="s">
        <v>354</v>
      </c>
      <c r="N343" s="2">
        <v>-2443</v>
      </c>
      <c r="P343" s="2" t="s">
        <v>365</v>
      </c>
      <c r="Q343" s="2" t="s">
        <v>366</v>
      </c>
    </row>
    <row r="344" spans="1:17" x14ac:dyDescent="0.2">
      <c r="A344" s="2" t="s">
        <v>346</v>
      </c>
      <c r="B344" s="2" t="s">
        <v>347</v>
      </c>
      <c r="D344" s="2" t="s">
        <v>348</v>
      </c>
      <c r="E344" s="2" t="s">
        <v>349</v>
      </c>
      <c r="F344" s="3">
        <v>46087.401750127312</v>
      </c>
      <c r="G344" s="2" t="s">
        <v>362</v>
      </c>
      <c r="H344" s="2" t="s">
        <v>363</v>
      </c>
      <c r="I344" s="2" t="s">
        <v>364</v>
      </c>
      <c r="J344" s="3" t="s">
        <v>95</v>
      </c>
      <c r="K344" s="2" t="s">
        <v>353</v>
      </c>
      <c r="L344" s="2"/>
      <c r="M344" s="2" t="s">
        <v>354</v>
      </c>
      <c r="N344" s="2">
        <v>-11182</v>
      </c>
      <c r="P344" s="2" t="s">
        <v>365</v>
      </c>
      <c r="Q344" s="2" t="s">
        <v>366</v>
      </c>
    </row>
    <row r="345" spans="1:17" x14ac:dyDescent="0.2">
      <c r="A345" s="2" t="s">
        <v>346</v>
      </c>
      <c r="B345" s="2" t="s">
        <v>347</v>
      </c>
      <c r="D345" s="2" t="s">
        <v>348</v>
      </c>
      <c r="E345" s="2" t="s">
        <v>349</v>
      </c>
      <c r="F345" s="3">
        <v>46087.401773368052</v>
      </c>
      <c r="G345" s="2" t="s">
        <v>362</v>
      </c>
      <c r="H345" s="2" t="s">
        <v>363</v>
      </c>
      <c r="I345" s="2" t="s">
        <v>364</v>
      </c>
      <c r="J345" s="3" t="s">
        <v>95</v>
      </c>
      <c r="K345" s="2" t="s">
        <v>353</v>
      </c>
      <c r="L345" s="2"/>
      <c r="M345" s="2" t="s">
        <v>354</v>
      </c>
      <c r="N345" s="2">
        <v>-41415</v>
      </c>
      <c r="P345" s="2" t="s">
        <v>365</v>
      </c>
      <c r="Q345" s="2" t="s">
        <v>366</v>
      </c>
    </row>
    <row r="346" spans="1:17" x14ac:dyDescent="0.2">
      <c r="A346" s="2" t="s">
        <v>346</v>
      </c>
      <c r="B346" s="2" t="s">
        <v>347</v>
      </c>
      <c r="D346" s="2" t="s">
        <v>348</v>
      </c>
      <c r="E346" s="2" t="s">
        <v>349</v>
      </c>
      <c r="F346" s="3">
        <v>46087.401808263887</v>
      </c>
      <c r="G346" s="2" t="s">
        <v>362</v>
      </c>
      <c r="H346" s="2" t="s">
        <v>363</v>
      </c>
      <c r="I346" s="2" t="s">
        <v>364</v>
      </c>
      <c r="J346" s="3" t="s">
        <v>95</v>
      </c>
      <c r="K346" s="2" t="s">
        <v>353</v>
      </c>
      <c r="L346" s="2"/>
      <c r="M346" s="2" t="s">
        <v>354</v>
      </c>
      <c r="N346" s="2">
        <v>-9473</v>
      </c>
      <c r="P346" s="2" t="s">
        <v>365</v>
      </c>
      <c r="Q346" s="2" t="s">
        <v>366</v>
      </c>
    </row>
    <row r="347" spans="1:17" x14ac:dyDescent="0.2">
      <c r="A347" s="2" t="s">
        <v>346</v>
      </c>
      <c r="B347" s="2" t="s">
        <v>347</v>
      </c>
      <c r="D347" s="2" t="s">
        <v>348</v>
      </c>
      <c r="E347" s="2" t="s">
        <v>349</v>
      </c>
      <c r="F347" s="3">
        <v>46087.401970891202</v>
      </c>
      <c r="G347" s="2" t="s">
        <v>362</v>
      </c>
      <c r="H347" s="2" t="s">
        <v>363</v>
      </c>
      <c r="I347" s="2" t="s">
        <v>364</v>
      </c>
      <c r="J347" s="3" t="s">
        <v>95</v>
      </c>
      <c r="K347" s="2" t="s">
        <v>353</v>
      </c>
      <c r="L347" s="2"/>
      <c r="M347" s="2" t="s">
        <v>354</v>
      </c>
      <c r="N347" s="2">
        <v>-27272</v>
      </c>
      <c r="P347" s="2" t="s">
        <v>365</v>
      </c>
      <c r="Q347" s="2" t="s">
        <v>366</v>
      </c>
    </row>
    <row r="348" spans="1:17" x14ac:dyDescent="0.2">
      <c r="A348" s="2" t="s">
        <v>346</v>
      </c>
      <c r="B348" s="2" t="s">
        <v>347</v>
      </c>
      <c r="D348" s="2" t="s">
        <v>348</v>
      </c>
      <c r="E348" s="2" t="s">
        <v>349</v>
      </c>
      <c r="F348" s="3">
        <v>46087.402075509257</v>
      </c>
      <c r="G348" s="2" t="s">
        <v>362</v>
      </c>
      <c r="H348" s="2" t="s">
        <v>363</v>
      </c>
      <c r="I348" s="2" t="s">
        <v>364</v>
      </c>
      <c r="J348" s="3" t="s">
        <v>95</v>
      </c>
      <c r="K348" s="2" t="s">
        <v>353</v>
      </c>
      <c r="L348" s="2"/>
      <c r="M348" s="2" t="s">
        <v>354</v>
      </c>
      <c r="N348" s="2">
        <v>29163</v>
      </c>
      <c r="P348" s="2" t="s">
        <v>365</v>
      </c>
      <c r="Q348" s="2" t="s">
        <v>366</v>
      </c>
    </row>
    <row r="349" spans="1:17" x14ac:dyDescent="0.2">
      <c r="A349" s="2" t="s">
        <v>346</v>
      </c>
      <c r="B349" s="2" t="s">
        <v>347</v>
      </c>
      <c r="D349" s="2" t="s">
        <v>348</v>
      </c>
      <c r="E349" s="2" t="s">
        <v>349</v>
      </c>
      <c r="F349" s="3">
        <v>46087.402168425928</v>
      </c>
      <c r="G349" s="2" t="s">
        <v>362</v>
      </c>
      <c r="H349" s="2" t="s">
        <v>363</v>
      </c>
      <c r="I349" s="2" t="s">
        <v>364</v>
      </c>
      <c r="J349" s="3" t="s">
        <v>95</v>
      </c>
      <c r="K349" s="2" t="s">
        <v>353</v>
      </c>
      <c r="L349" s="2"/>
      <c r="M349" s="2" t="s">
        <v>354</v>
      </c>
      <c r="N349" s="2">
        <v>-28262</v>
      </c>
      <c r="P349" s="2" t="s">
        <v>365</v>
      </c>
      <c r="Q349" s="2" t="s">
        <v>366</v>
      </c>
    </row>
    <row r="350" spans="1:17" x14ac:dyDescent="0.2">
      <c r="A350" s="2" t="s">
        <v>346</v>
      </c>
      <c r="B350" s="2" t="s">
        <v>347</v>
      </c>
      <c r="D350" s="2" t="s">
        <v>348</v>
      </c>
      <c r="E350" s="2" t="s">
        <v>349</v>
      </c>
      <c r="F350" s="3">
        <v>46087.402191747686</v>
      </c>
      <c r="G350" s="2" t="s">
        <v>362</v>
      </c>
      <c r="H350" s="2" t="s">
        <v>363</v>
      </c>
      <c r="I350" s="2" t="s">
        <v>364</v>
      </c>
      <c r="J350" s="3" t="s">
        <v>95</v>
      </c>
      <c r="K350" s="2" t="s">
        <v>353</v>
      </c>
      <c r="L350" s="2"/>
      <c r="M350" s="2" t="s">
        <v>354</v>
      </c>
      <c r="N350" s="2">
        <v>-4984</v>
      </c>
      <c r="P350" s="2" t="s">
        <v>365</v>
      </c>
      <c r="Q350" s="2" t="s">
        <v>366</v>
      </c>
    </row>
    <row r="351" spans="1:17" x14ac:dyDescent="0.2">
      <c r="A351" s="2" t="s">
        <v>346</v>
      </c>
      <c r="B351" s="2" t="s">
        <v>347</v>
      </c>
      <c r="D351" s="2" t="s">
        <v>348</v>
      </c>
      <c r="E351" s="2" t="s">
        <v>349</v>
      </c>
      <c r="F351" s="3">
        <v>46087.402214942129</v>
      </c>
      <c r="G351" s="2" t="s">
        <v>362</v>
      </c>
      <c r="H351" s="2" t="s">
        <v>363</v>
      </c>
      <c r="I351" s="2" t="s">
        <v>364</v>
      </c>
      <c r="J351" s="3" t="s">
        <v>95</v>
      </c>
      <c r="K351" s="2" t="s">
        <v>353</v>
      </c>
      <c r="L351" s="2"/>
      <c r="M351" s="2" t="s">
        <v>354</v>
      </c>
      <c r="N351" s="2">
        <v>-44460</v>
      </c>
      <c r="P351" s="2" t="s">
        <v>365</v>
      </c>
      <c r="Q351" s="2" t="s">
        <v>366</v>
      </c>
    </row>
    <row r="352" spans="1:17" x14ac:dyDescent="0.2">
      <c r="A352" s="2" t="s">
        <v>346</v>
      </c>
      <c r="B352" s="2" t="s">
        <v>347</v>
      </c>
      <c r="D352" s="2" t="s">
        <v>348</v>
      </c>
      <c r="E352" s="2" t="s">
        <v>349</v>
      </c>
      <c r="F352" s="3">
        <v>46087.402296192129</v>
      </c>
      <c r="G352" s="2" t="s">
        <v>362</v>
      </c>
      <c r="H352" s="2" t="s">
        <v>363</v>
      </c>
      <c r="I352" s="2" t="s">
        <v>364</v>
      </c>
      <c r="J352" s="3" t="s">
        <v>95</v>
      </c>
      <c r="K352" s="2" t="s">
        <v>353</v>
      </c>
      <c r="L352" s="2"/>
      <c r="M352" s="2" t="s">
        <v>354</v>
      </c>
      <c r="N352" s="2">
        <v>9230</v>
      </c>
      <c r="P352" s="2" t="s">
        <v>365</v>
      </c>
      <c r="Q352" s="2" t="s">
        <v>366</v>
      </c>
    </row>
    <row r="353" spans="1:17" x14ac:dyDescent="0.2">
      <c r="A353" s="2" t="s">
        <v>346</v>
      </c>
      <c r="B353" s="2" t="s">
        <v>347</v>
      </c>
      <c r="D353" s="2" t="s">
        <v>348</v>
      </c>
      <c r="E353" s="2" t="s">
        <v>349</v>
      </c>
      <c r="F353" s="3">
        <v>46087.402412384261</v>
      </c>
      <c r="G353" s="2" t="s">
        <v>362</v>
      </c>
      <c r="H353" s="2" t="s">
        <v>363</v>
      </c>
      <c r="I353" s="2" t="s">
        <v>364</v>
      </c>
      <c r="J353" s="3" t="s">
        <v>95</v>
      </c>
      <c r="K353" s="2" t="s">
        <v>353</v>
      </c>
      <c r="L353" s="2"/>
      <c r="M353" s="2" t="s">
        <v>354</v>
      </c>
      <c r="N353" s="2">
        <v>-17978</v>
      </c>
      <c r="P353" s="2" t="s">
        <v>365</v>
      </c>
      <c r="Q353" s="2" t="s">
        <v>366</v>
      </c>
    </row>
    <row r="354" spans="1:17" x14ac:dyDescent="0.2">
      <c r="A354" s="2" t="s">
        <v>346</v>
      </c>
      <c r="B354" s="2" t="s">
        <v>347</v>
      </c>
      <c r="D354" s="2" t="s">
        <v>348</v>
      </c>
      <c r="E354" s="2" t="s">
        <v>349</v>
      </c>
      <c r="F354" s="3">
        <v>46087.402458773147</v>
      </c>
      <c r="G354" s="2" t="s">
        <v>362</v>
      </c>
      <c r="H354" s="2" t="s">
        <v>363</v>
      </c>
      <c r="I354" s="2" t="s">
        <v>364</v>
      </c>
      <c r="J354" s="3" t="s">
        <v>95</v>
      </c>
      <c r="K354" s="2" t="s">
        <v>353</v>
      </c>
      <c r="L354" s="2"/>
      <c r="M354" s="2" t="s">
        <v>354</v>
      </c>
      <c r="N354" s="2">
        <v>14002</v>
      </c>
      <c r="P354" s="2" t="s">
        <v>365</v>
      </c>
      <c r="Q354" s="2" t="s">
        <v>366</v>
      </c>
    </row>
    <row r="355" spans="1:17" x14ac:dyDescent="0.2">
      <c r="A355" s="2" t="s">
        <v>346</v>
      </c>
      <c r="B355" s="2" t="s">
        <v>347</v>
      </c>
      <c r="D355" s="2" t="s">
        <v>348</v>
      </c>
      <c r="E355" s="2" t="s">
        <v>349</v>
      </c>
      <c r="F355" s="3">
        <v>46087.402621527879</v>
      </c>
      <c r="G355" s="2" t="s">
        <v>362</v>
      </c>
      <c r="H355" s="2" t="s">
        <v>363</v>
      </c>
      <c r="I355" s="2" t="s">
        <v>364</v>
      </c>
      <c r="J355" s="3" t="s">
        <v>95</v>
      </c>
      <c r="K355" s="2" t="s">
        <v>353</v>
      </c>
      <c r="L355" s="2"/>
      <c r="M355" s="2" t="s">
        <v>354</v>
      </c>
      <c r="N355" s="2">
        <v>-22134</v>
      </c>
      <c r="P355" s="2" t="s">
        <v>365</v>
      </c>
      <c r="Q355" s="2" t="s">
        <v>366</v>
      </c>
    </row>
    <row r="356" spans="1:17" x14ac:dyDescent="0.2">
      <c r="A356" s="2" t="s">
        <v>346</v>
      </c>
      <c r="B356" s="2" t="s">
        <v>347</v>
      </c>
      <c r="D356" s="2" t="s">
        <v>348</v>
      </c>
      <c r="E356" s="2" t="s">
        <v>349</v>
      </c>
      <c r="F356" s="3">
        <v>46087.403144618052</v>
      </c>
      <c r="G356" s="2" t="s">
        <v>362</v>
      </c>
      <c r="H356" s="2" t="s">
        <v>363</v>
      </c>
      <c r="I356" s="2" t="s">
        <v>364</v>
      </c>
      <c r="J356" s="3" t="s">
        <v>95</v>
      </c>
      <c r="K356" s="2" t="s">
        <v>353</v>
      </c>
      <c r="L356" s="2"/>
      <c r="M356" s="2" t="s">
        <v>354</v>
      </c>
      <c r="N356" s="2">
        <v>15975</v>
      </c>
      <c r="P356" s="2" t="s">
        <v>365</v>
      </c>
      <c r="Q356" s="2" t="s">
        <v>366</v>
      </c>
    </row>
    <row r="357" spans="1:17" x14ac:dyDescent="0.2">
      <c r="A357" s="2" t="s">
        <v>346</v>
      </c>
      <c r="B357" s="2" t="s">
        <v>347</v>
      </c>
      <c r="D357" s="2" t="s">
        <v>348</v>
      </c>
      <c r="E357" s="2" t="s">
        <v>349</v>
      </c>
      <c r="F357" s="3">
        <v>46087.40336556713</v>
      </c>
      <c r="G357" s="2" t="s">
        <v>362</v>
      </c>
      <c r="H357" s="2" t="s">
        <v>363</v>
      </c>
      <c r="I357" s="2" t="s">
        <v>364</v>
      </c>
      <c r="J357" s="3" t="s">
        <v>95</v>
      </c>
      <c r="K357" s="2" t="s">
        <v>353</v>
      </c>
      <c r="L357" s="2"/>
      <c r="M357" s="2" t="s">
        <v>354</v>
      </c>
      <c r="N357" s="2">
        <v>-11456</v>
      </c>
      <c r="P357" s="2" t="s">
        <v>365</v>
      </c>
      <c r="Q357" s="2" t="s">
        <v>366</v>
      </c>
    </row>
    <row r="358" spans="1:17" x14ac:dyDescent="0.2">
      <c r="A358" s="2" t="s">
        <v>346</v>
      </c>
      <c r="B358" s="2" t="s">
        <v>347</v>
      </c>
      <c r="D358" s="2" t="s">
        <v>348</v>
      </c>
      <c r="E358" s="2" t="s">
        <v>349</v>
      </c>
      <c r="F358" s="3">
        <v>46087.403377141207</v>
      </c>
      <c r="G358" s="2" t="s">
        <v>362</v>
      </c>
      <c r="H358" s="2" t="s">
        <v>363</v>
      </c>
      <c r="I358" s="2" t="s">
        <v>364</v>
      </c>
      <c r="J358" s="3" t="s">
        <v>95</v>
      </c>
      <c r="K358" s="2" t="s">
        <v>353</v>
      </c>
      <c r="L358" s="2"/>
      <c r="M358" s="2" t="s">
        <v>354</v>
      </c>
      <c r="N358" s="2">
        <v>-40633</v>
      </c>
      <c r="P358" s="2" t="s">
        <v>365</v>
      </c>
      <c r="Q358" s="2" t="s">
        <v>366</v>
      </c>
    </row>
    <row r="359" spans="1:17" x14ac:dyDescent="0.2">
      <c r="A359" s="2" t="s">
        <v>346</v>
      </c>
      <c r="B359" s="2" t="s">
        <v>347</v>
      </c>
      <c r="D359" s="2" t="s">
        <v>348</v>
      </c>
      <c r="E359" s="2" t="s">
        <v>349</v>
      </c>
      <c r="F359" s="3">
        <v>46087.403423622687</v>
      </c>
      <c r="G359" s="2" t="s">
        <v>362</v>
      </c>
      <c r="H359" s="2" t="s">
        <v>363</v>
      </c>
      <c r="I359" s="2" t="s">
        <v>364</v>
      </c>
      <c r="J359" s="3" t="s">
        <v>95</v>
      </c>
      <c r="K359" s="2" t="s">
        <v>353</v>
      </c>
      <c r="L359" s="2"/>
      <c r="M359" s="2" t="s">
        <v>354</v>
      </c>
      <c r="N359" s="2">
        <v>-10575</v>
      </c>
      <c r="P359" s="2" t="s">
        <v>365</v>
      </c>
      <c r="Q359" s="2" t="s">
        <v>366</v>
      </c>
    </row>
    <row r="360" spans="1:17" x14ac:dyDescent="0.2">
      <c r="A360" s="2" t="s">
        <v>346</v>
      </c>
      <c r="B360" s="2" t="s">
        <v>347</v>
      </c>
      <c r="D360" s="2" t="s">
        <v>348</v>
      </c>
      <c r="E360" s="2" t="s">
        <v>349</v>
      </c>
      <c r="F360" s="3">
        <v>46087.403435335647</v>
      </c>
      <c r="G360" s="2" t="s">
        <v>362</v>
      </c>
      <c r="H360" s="2" t="s">
        <v>363</v>
      </c>
      <c r="I360" s="2" t="s">
        <v>364</v>
      </c>
      <c r="J360" s="3" t="s">
        <v>95</v>
      </c>
      <c r="K360" s="2" t="s">
        <v>353</v>
      </c>
      <c r="L360" s="2"/>
      <c r="M360" s="2" t="s">
        <v>354</v>
      </c>
      <c r="N360" s="2">
        <v>-41227</v>
      </c>
      <c r="P360" s="2" t="s">
        <v>365</v>
      </c>
      <c r="Q360" s="2" t="s">
        <v>366</v>
      </c>
    </row>
    <row r="361" spans="1:17" x14ac:dyDescent="0.2">
      <c r="A361" s="2" t="s">
        <v>346</v>
      </c>
      <c r="B361" s="2" t="s">
        <v>347</v>
      </c>
      <c r="D361" s="2" t="s">
        <v>348</v>
      </c>
      <c r="E361" s="2" t="s">
        <v>349</v>
      </c>
      <c r="F361" s="3">
        <v>46087.403481712965</v>
      </c>
      <c r="G361" s="2" t="s">
        <v>362</v>
      </c>
      <c r="H361" s="2" t="s">
        <v>363</v>
      </c>
      <c r="I361" s="2" t="s">
        <v>364</v>
      </c>
      <c r="J361" s="3" t="s">
        <v>95</v>
      </c>
      <c r="K361" s="2" t="s">
        <v>353</v>
      </c>
      <c r="L361" s="2"/>
      <c r="M361" s="2" t="s">
        <v>354</v>
      </c>
      <c r="N361" s="2">
        <v>179</v>
      </c>
      <c r="P361" s="2" t="s">
        <v>365</v>
      </c>
      <c r="Q361" s="2" t="s">
        <v>366</v>
      </c>
    </row>
    <row r="362" spans="1:17" x14ac:dyDescent="0.2">
      <c r="A362" s="2" t="s">
        <v>346</v>
      </c>
      <c r="B362" s="2" t="s">
        <v>347</v>
      </c>
      <c r="D362" s="2" t="s">
        <v>348</v>
      </c>
      <c r="E362" s="2" t="s">
        <v>349</v>
      </c>
      <c r="F362" s="3">
        <v>46087.4035978588</v>
      </c>
      <c r="G362" s="2" t="s">
        <v>362</v>
      </c>
      <c r="H362" s="2" t="s">
        <v>363</v>
      </c>
      <c r="I362" s="2" t="s">
        <v>364</v>
      </c>
      <c r="J362" s="3" t="s">
        <v>95</v>
      </c>
      <c r="K362" s="2" t="s">
        <v>353</v>
      </c>
      <c r="L362" s="2"/>
      <c r="M362" s="2" t="s">
        <v>354</v>
      </c>
      <c r="N362" s="2">
        <v>-42303</v>
      </c>
      <c r="P362" s="2" t="s">
        <v>365</v>
      </c>
      <c r="Q362" s="2" t="s">
        <v>366</v>
      </c>
    </row>
    <row r="363" spans="1:17" x14ac:dyDescent="0.2">
      <c r="A363" s="2" t="s">
        <v>346</v>
      </c>
      <c r="B363" s="2" t="s">
        <v>347</v>
      </c>
      <c r="D363" s="2" t="s">
        <v>348</v>
      </c>
      <c r="E363" s="2" t="s">
        <v>349</v>
      </c>
      <c r="F363" s="3">
        <v>46087.403621053243</v>
      </c>
      <c r="G363" s="2" t="s">
        <v>362</v>
      </c>
      <c r="H363" s="2" t="s">
        <v>363</v>
      </c>
      <c r="I363" s="2" t="s">
        <v>364</v>
      </c>
      <c r="J363" s="3" t="s">
        <v>95</v>
      </c>
      <c r="K363" s="2" t="s">
        <v>353</v>
      </c>
      <c r="L363" s="2"/>
      <c r="M363" s="2" t="s">
        <v>354</v>
      </c>
      <c r="N363" s="2">
        <v>-8483</v>
      </c>
      <c r="P363" s="2" t="s">
        <v>365</v>
      </c>
      <c r="Q363" s="2" t="s">
        <v>366</v>
      </c>
    </row>
    <row r="364" spans="1:17" x14ac:dyDescent="0.2">
      <c r="A364" s="2" t="s">
        <v>346</v>
      </c>
      <c r="B364" s="2" t="s">
        <v>347</v>
      </c>
      <c r="D364" s="2" t="s">
        <v>348</v>
      </c>
      <c r="E364" s="2" t="s">
        <v>349</v>
      </c>
      <c r="F364" s="3">
        <v>46087.403806967595</v>
      </c>
      <c r="G364" s="2" t="s">
        <v>362</v>
      </c>
      <c r="H364" s="2" t="s">
        <v>363</v>
      </c>
      <c r="I364" s="2" t="s">
        <v>364</v>
      </c>
      <c r="J364" s="3" t="s">
        <v>95</v>
      </c>
      <c r="K364" s="2" t="s">
        <v>353</v>
      </c>
      <c r="L364" s="2"/>
      <c r="M364" s="2" t="s">
        <v>354</v>
      </c>
      <c r="N364" s="2">
        <v>-33253</v>
      </c>
      <c r="P364" s="2" t="s">
        <v>365</v>
      </c>
      <c r="Q364" s="2" t="s">
        <v>366</v>
      </c>
    </row>
    <row r="365" spans="1:17" x14ac:dyDescent="0.2">
      <c r="A365" s="2" t="s">
        <v>346</v>
      </c>
      <c r="B365" s="2" t="s">
        <v>347</v>
      </c>
      <c r="D365" s="2" t="s">
        <v>348</v>
      </c>
      <c r="E365" s="2" t="s">
        <v>349</v>
      </c>
      <c r="F365" s="3">
        <v>46087.403934780094</v>
      </c>
      <c r="G365" s="2" t="s">
        <v>362</v>
      </c>
      <c r="H365" s="2" t="s">
        <v>363</v>
      </c>
      <c r="I365" s="2" t="s">
        <v>364</v>
      </c>
      <c r="J365" s="3" t="s">
        <v>95</v>
      </c>
      <c r="K365" s="2" t="s">
        <v>353</v>
      </c>
      <c r="L365" s="2"/>
      <c r="M365" s="2" t="s">
        <v>354</v>
      </c>
      <c r="N365" s="2">
        <v>2864</v>
      </c>
      <c r="P365" s="2" t="s">
        <v>365</v>
      </c>
      <c r="Q365" s="2" t="s">
        <v>366</v>
      </c>
    </row>
    <row r="366" spans="1:17" x14ac:dyDescent="0.2">
      <c r="A366" s="2" t="s">
        <v>346</v>
      </c>
      <c r="B366" s="2" t="s">
        <v>347</v>
      </c>
      <c r="D366" s="2" t="s">
        <v>348</v>
      </c>
      <c r="E366" s="2" t="s">
        <v>349</v>
      </c>
      <c r="F366" s="3">
        <v>46087.404144918983</v>
      </c>
      <c r="G366" s="2" t="s">
        <v>350</v>
      </c>
      <c r="H366" s="2" t="s">
        <v>351</v>
      </c>
      <c r="I366" s="2" t="s">
        <v>352</v>
      </c>
      <c r="J366" s="3" t="s">
        <v>95</v>
      </c>
      <c r="K366" s="2" t="s">
        <v>353</v>
      </c>
      <c r="L366" s="2"/>
      <c r="M366" s="2" t="s">
        <v>354</v>
      </c>
      <c r="N366" s="2">
        <v>58.660000000000004</v>
      </c>
      <c r="P366" s="2" t="s">
        <v>355</v>
      </c>
      <c r="Q366" s="2" t="s">
        <v>356</v>
      </c>
    </row>
    <row r="367" spans="1:17" x14ac:dyDescent="0.2">
      <c r="A367" s="2" t="s">
        <v>346</v>
      </c>
      <c r="B367" s="2" t="s">
        <v>347</v>
      </c>
      <c r="D367" s="2" t="s">
        <v>348</v>
      </c>
      <c r="E367" s="2" t="s">
        <v>349</v>
      </c>
      <c r="F367" s="3">
        <v>46087.404400277781</v>
      </c>
      <c r="G367" s="2" t="s">
        <v>362</v>
      </c>
      <c r="H367" s="2" t="s">
        <v>363</v>
      </c>
      <c r="I367" s="2" t="s">
        <v>364</v>
      </c>
      <c r="J367" s="3" t="s">
        <v>95</v>
      </c>
      <c r="K367" s="2" t="s">
        <v>353</v>
      </c>
      <c r="L367" s="2"/>
      <c r="M367" s="2" t="s">
        <v>354</v>
      </c>
      <c r="N367" s="2">
        <v>-42061</v>
      </c>
      <c r="P367" s="2" t="s">
        <v>365</v>
      </c>
      <c r="Q367" s="2" t="s">
        <v>366</v>
      </c>
    </row>
    <row r="368" spans="1:17" x14ac:dyDescent="0.2">
      <c r="A368" s="2" t="s">
        <v>346</v>
      </c>
      <c r="B368" s="2" t="s">
        <v>347</v>
      </c>
      <c r="D368" s="2" t="s">
        <v>348</v>
      </c>
      <c r="E368" s="2" t="s">
        <v>349</v>
      </c>
      <c r="F368" s="3">
        <v>46087.404482106482</v>
      </c>
      <c r="G368" s="2" t="s">
        <v>362</v>
      </c>
      <c r="H368" s="2" t="s">
        <v>363</v>
      </c>
      <c r="I368" s="2" t="s">
        <v>364</v>
      </c>
      <c r="J368" s="3" t="s">
        <v>95</v>
      </c>
      <c r="K368" s="2" t="s">
        <v>353</v>
      </c>
      <c r="L368" s="2"/>
      <c r="M368" s="2" t="s">
        <v>354</v>
      </c>
      <c r="N368" s="2">
        <v>-7783</v>
      </c>
      <c r="P368" s="2" t="s">
        <v>365</v>
      </c>
      <c r="Q368" s="2" t="s">
        <v>366</v>
      </c>
    </row>
    <row r="369" spans="1:17" x14ac:dyDescent="0.2">
      <c r="A369" s="2" t="s">
        <v>346</v>
      </c>
      <c r="B369" s="2" t="s">
        <v>347</v>
      </c>
      <c r="D369" s="2" t="s">
        <v>348</v>
      </c>
      <c r="E369" s="2" t="s">
        <v>349</v>
      </c>
      <c r="F369" s="3">
        <v>46087.404865856479</v>
      </c>
      <c r="G369" s="2" t="s">
        <v>362</v>
      </c>
      <c r="H369" s="2" t="s">
        <v>363</v>
      </c>
      <c r="I369" s="2" t="s">
        <v>364</v>
      </c>
      <c r="J369" s="3" t="s">
        <v>95</v>
      </c>
      <c r="K369" s="2" t="s">
        <v>353</v>
      </c>
      <c r="L369" s="2"/>
      <c r="M369" s="2" t="s">
        <v>354</v>
      </c>
      <c r="N369" s="2">
        <v>-10620</v>
      </c>
      <c r="P369" s="2" t="s">
        <v>365</v>
      </c>
      <c r="Q369" s="2" t="s">
        <v>366</v>
      </c>
    </row>
    <row r="370" spans="1:17" x14ac:dyDescent="0.2">
      <c r="A370" s="2" t="s">
        <v>346</v>
      </c>
      <c r="B370" s="2" t="s">
        <v>347</v>
      </c>
      <c r="D370" s="2" t="s">
        <v>348</v>
      </c>
      <c r="E370" s="2" t="s">
        <v>349</v>
      </c>
      <c r="F370" s="3">
        <v>46087.404889004632</v>
      </c>
      <c r="G370" s="2" t="s">
        <v>362</v>
      </c>
      <c r="H370" s="2" t="s">
        <v>363</v>
      </c>
      <c r="I370" s="2" t="s">
        <v>364</v>
      </c>
      <c r="J370" s="3" t="s">
        <v>95</v>
      </c>
      <c r="K370" s="2" t="s">
        <v>353</v>
      </c>
      <c r="L370" s="2"/>
      <c r="M370" s="2" t="s">
        <v>354</v>
      </c>
      <c r="N370" s="2">
        <v>-42529</v>
      </c>
      <c r="P370" s="2" t="s">
        <v>365</v>
      </c>
      <c r="Q370" s="2" t="s">
        <v>366</v>
      </c>
    </row>
    <row r="371" spans="1:17" x14ac:dyDescent="0.2">
      <c r="A371" s="2" t="s">
        <v>346</v>
      </c>
      <c r="B371" s="2" t="s">
        <v>347</v>
      </c>
      <c r="D371" s="2" t="s">
        <v>348</v>
      </c>
      <c r="E371" s="2" t="s">
        <v>349</v>
      </c>
      <c r="F371" s="3">
        <v>46087.404923726855</v>
      </c>
      <c r="G371" s="2" t="s">
        <v>362</v>
      </c>
      <c r="H371" s="2" t="s">
        <v>363</v>
      </c>
      <c r="I371" s="2" t="s">
        <v>364</v>
      </c>
      <c r="J371" s="3" t="s">
        <v>95</v>
      </c>
      <c r="K371" s="2" t="s">
        <v>353</v>
      </c>
      <c r="L371" s="2"/>
      <c r="M371" s="2" t="s">
        <v>354</v>
      </c>
      <c r="N371" s="2">
        <v>-8349</v>
      </c>
      <c r="P371" s="2" t="s">
        <v>365</v>
      </c>
      <c r="Q371" s="2" t="s">
        <v>366</v>
      </c>
    </row>
    <row r="372" spans="1:17" x14ac:dyDescent="0.2">
      <c r="A372" s="2" t="s">
        <v>346</v>
      </c>
      <c r="B372" s="2" t="s">
        <v>347</v>
      </c>
      <c r="D372" s="2" t="s">
        <v>348</v>
      </c>
      <c r="E372" s="2" t="s">
        <v>349</v>
      </c>
      <c r="F372" s="3">
        <v>46087.405133148146</v>
      </c>
      <c r="G372" s="2" t="s">
        <v>362</v>
      </c>
      <c r="H372" s="2" t="s">
        <v>363</v>
      </c>
      <c r="I372" s="2" t="s">
        <v>364</v>
      </c>
      <c r="J372" s="3" t="s">
        <v>95</v>
      </c>
      <c r="K372" s="2" t="s">
        <v>353</v>
      </c>
      <c r="L372" s="2"/>
      <c r="M372" s="2" t="s">
        <v>354</v>
      </c>
      <c r="N372" s="2">
        <v>-35574</v>
      </c>
      <c r="P372" s="2" t="s">
        <v>365</v>
      </c>
      <c r="Q372" s="2" t="s">
        <v>366</v>
      </c>
    </row>
    <row r="373" spans="1:17" x14ac:dyDescent="0.2">
      <c r="A373" s="2" t="s">
        <v>346</v>
      </c>
      <c r="B373" s="2" t="s">
        <v>347</v>
      </c>
      <c r="D373" s="2" t="s">
        <v>348</v>
      </c>
      <c r="E373" s="2" t="s">
        <v>349</v>
      </c>
      <c r="F373" s="3">
        <v>46087.405156064815</v>
      </c>
      <c r="G373" s="2" t="s">
        <v>362</v>
      </c>
      <c r="H373" s="2" t="s">
        <v>363</v>
      </c>
      <c r="I373" s="2" t="s">
        <v>364</v>
      </c>
      <c r="J373" s="3" t="s">
        <v>95</v>
      </c>
      <c r="K373" s="2" t="s">
        <v>353</v>
      </c>
      <c r="L373" s="2"/>
      <c r="M373" s="2" t="s">
        <v>354</v>
      </c>
      <c r="N373" s="2">
        <v>-8893</v>
      </c>
      <c r="P373" s="2" t="s">
        <v>365</v>
      </c>
      <c r="Q373" s="2" t="s">
        <v>366</v>
      </c>
    </row>
    <row r="374" spans="1:17" x14ac:dyDescent="0.2">
      <c r="A374" s="2" t="s">
        <v>346</v>
      </c>
      <c r="B374" s="2" t="s">
        <v>347</v>
      </c>
      <c r="D374" s="2" t="s">
        <v>348</v>
      </c>
      <c r="E374" s="2" t="s">
        <v>349</v>
      </c>
      <c r="F374" s="3">
        <v>46087.405303634259</v>
      </c>
      <c r="G374" s="2" t="s">
        <v>350</v>
      </c>
      <c r="H374" s="2" t="s">
        <v>351</v>
      </c>
      <c r="I374" s="2" t="s">
        <v>352</v>
      </c>
      <c r="J374" s="3" t="s">
        <v>95</v>
      </c>
      <c r="K374" s="2" t="s">
        <v>353</v>
      </c>
      <c r="L374" s="2"/>
      <c r="M374" s="2" t="s">
        <v>354</v>
      </c>
      <c r="N374" s="2">
        <v>59.88</v>
      </c>
      <c r="P374" s="2" t="s">
        <v>355</v>
      </c>
      <c r="Q374" s="2" t="s">
        <v>356</v>
      </c>
    </row>
    <row r="375" spans="1:17" x14ac:dyDescent="0.2">
      <c r="A375" s="2" t="s">
        <v>346</v>
      </c>
      <c r="B375" s="2" t="s">
        <v>347</v>
      </c>
      <c r="D375" s="2" t="s">
        <v>348</v>
      </c>
      <c r="E375" s="2" t="s">
        <v>349</v>
      </c>
      <c r="F375" s="3">
        <v>46087.405551620373</v>
      </c>
      <c r="G375" s="2" t="s">
        <v>362</v>
      </c>
      <c r="H375" s="2" t="s">
        <v>363</v>
      </c>
      <c r="I375" s="2" t="s">
        <v>364</v>
      </c>
      <c r="J375" s="3" t="s">
        <v>95</v>
      </c>
      <c r="K375" s="2" t="s">
        <v>353</v>
      </c>
      <c r="L375" s="2"/>
      <c r="M375" s="2" t="s">
        <v>354</v>
      </c>
      <c r="N375" s="2">
        <v>-40906</v>
      </c>
      <c r="P375" s="2" t="s">
        <v>365</v>
      </c>
      <c r="Q375" s="2" t="s">
        <v>366</v>
      </c>
    </row>
    <row r="376" spans="1:17" x14ac:dyDescent="0.2">
      <c r="A376" s="2" t="s">
        <v>346</v>
      </c>
      <c r="B376" s="2" t="s">
        <v>347</v>
      </c>
      <c r="D376" s="2" t="s">
        <v>348</v>
      </c>
      <c r="E376" s="2" t="s">
        <v>349</v>
      </c>
      <c r="F376" s="3">
        <v>46087.40558648148</v>
      </c>
      <c r="G376" s="2" t="s">
        <v>362</v>
      </c>
      <c r="H376" s="2" t="s">
        <v>363</v>
      </c>
      <c r="I376" s="2" t="s">
        <v>364</v>
      </c>
      <c r="J376" s="3" t="s">
        <v>95</v>
      </c>
      <c r="K376" s="2" t="s">
        <v>353</v>
      </c>
      <c r="L376" s="2"/>
      <c r="M376" s="2" t="s">
        <v>354</v>
      </c>
      <c r="N376" s="2">
        <v>-8495</v>
      </c>
      <c r="P376" s="2" t="s">
        <v>365</v>
      </c>
      <c r="Q376" s="2" t="s">
        <v>366</v>
      </c>
    </row>
    <row r="377" spans="1:17" x14ac:dyDescent="0.2">
      <c r="A377" s="2" t="s">
        <v>346</v>
      </c>
      <c r="B377" s="2" t="s">
        <v>347</v>
      </c>
      <c r="D377" s="2" t="s">
        <v>348</v>
      </c>
      <c r="E377" s="2" t="s">
        <v>349</v>
      </c>
      <c r="F377" s="3">
        <v>46087.40624895833</v>
      </c>
      <c r="G377" s="2" t="s">
        <v>362</v>
      </c>
      <c r="H377" s="2" t="s">
        <v>363</v>
      </c>
      <c r="I377" s="2" t="s">
        <v>364</v>
      </c>
      <c r="J377" s="3" t="s">
        <v>95</v>
      </c>
      <c r="K377" s="2" t="s">
        <v>353</v>
      </c>
      <c r="L377" s="2"/>
      <c r="M377" s="2" t="s">
        <v>354</v>
      </c>
      <c r="N377" s="2">
        <v>-34303</v>
      </c>
      <c r="P377" s="2" t="s">
        <v>365</v>
      </c>
      <c r="Q377" s="2" t="s">
        <v>366</v>
      </c>
    </row>
    <row r="378" spans="1:17" x14ac:dyDescent="0.2">
      <c r="A378" s="2" t="s">
        <v>346</v>
      </c>
      <c r="B378" s="2" t="s">
        <v>347</v>
      </c>
      <c r="D378" s="2" t="s">
        <v>348</v>
      </c>
      <c r="E378" s="2" t="s">
        <v>349</v>
      </c>
      <c r="F378" s="3">
        <v>46087.406693344907</v>
      </c>
      <c r="G378" s="2" t="s">
        <v>350</v>
      </c>
      <c r="H378" s="2" t="s">
        <v>351</v>
      </c>
      <c r="I378" s="2" t="s">
        <v>352</v>
      </c>
      <c r="J378" s="3" t="s">
        <v>95</v>
      </c>
      <c r="K378" s="2" t="s">
        <v>353</v>
      </c>
      <c r="L378" s="2"/>
      <c r="M378" s="2" t="s">
        <v>354</v>
      </c>
      <c r="N378" s="2">
        <v>61.1</v>
      </c>
      <c r="P378" s="2" t="s">
        <v>355</v>
      </c>
      <c r="Q378" s="2" t="s">
        <v>356</v>
      </c>
    </row>
    <row r="379" spans="1:17" x14ac:dyDescent="0.2">
      <c r="A379" s="2" t="s">
        <v>346</v>
      </c>
      <c r="B379" s="2" t="s">
        <v>347</v>
      </c>
      <c r="D379" s="2" t="s">
        <v>348</v>
      </c>
      <c r="E379" s="2" t="s">
        <v>349</v>
      </c>
      <c r="F379" s="3">
        <v>46087.406795474541</v>
      </c>
      <c r="G379" s="2" t="s">
        <v>362</v>
      </c>
      <c r="H379" s="2" t="s">
        <v>363</v>
      </c>
      <c r="I379" s="2" t="s">
        <v>364</v>
      </c>
      <c r="J379" s="3" t="s">
        <v>95</v>
      </c>
      <c r="K379" s="2" t="s">
        <v>353</v>
      </c>
      <c r="L379" s="2"/>
      <c r="M379" s="2" t="s">
        <v>354</v>
      </c>
      <c r="N379" s="2">
        <v>-8495</v>
      </c>
      <c r="P379" s="2" t="s">
        <v>365</v>
      </c>
      <c r="Q379" s="2" t="s">
        <v>366</v>
      </c>
    </row>
    <row r="380" spans="1:17" x14ac:dyDescent="0.2">
      <c r="A380" s="2" t="s">
        <v>346</v>
      </c>
      <c r="B380" s="2" t="s">
        <v>347</v>
      </c>
      <c r="D380" s="2" t="s">
        <v>348</v>
      </c>
      <c r="E380" s="2" t="s">
        <v>349</v>
      </c>
      <c r="F380" s="3">
        <v>46087.406853611108</v>
      </c>
      <c r="G380" s="2" t="s">
        <v>362</v>
      </c>
      <c r="H380" s="2" t="s">
        <v>363</v>
      </c>
      <c r="I380" s="2" t="s">
        <v>364</v>
      </c>
      <c r="J380" s="3" t="s">
        <v>95</v>
      </c>
      <c r="K380" s="2" t="s">
        <v>353</v>
      </c>
      <c r="L380" s="2"/>
      <c r="M380" s="2" t="s">
        <v>354</v>
      </c>
      <c r="N380" s="2">
        <v>-36381</v>
      </c>
      <c r="P380" s="2" t="s">
        <v>365</v>
      </c>
      <c r="Q380" s="2" t="s">
        <v>366</v>
      </c>
    </row>
    <row r="381" spans="1:17" x14ac:dyDescent="0.2">
      <c r="A381" s="2" t="s">
        <v>346</v>
      </c>
      <c r="B381" s="2" t="s">
        <v>347</v>
      </c>
      <c r="D381" s="2" t="s">
        <v>348</v>
      </c>
      <c r="E381" s="2" t="s">
        <v>349</v>
      </c>
      <c r="F381" s="3">
        <v>46087.40790111111</v>
      </c>
      <c r="G381" s="2" t="s">
        <v>362</v>
      </c>
      <c r="H381" s="2" t="s">
        <v>363</v>
      </c>
      <c r="I381" s="2" t="s">
        <v>364</v>
      </c>
      <c r="J381" s="3" t="s">
        <v>95</v>
      </c>
      <c r="K381" s="2" t="s">
        <v>353</v>
      </c>
      <c r="L381" s="2"/>
      <c r="M381" s="2" t="s">
        <v>354</v>
      </c>
      <c r="N381" s="2">
        <v>-6335</v>
      </c>
      <c r="P381" s="2" t="s">
        <v>365</v>
      </c>
      <c r="Q381" s="2" t="s">
        <v>366</v>
      </c>
    </row>
    <row r="382" spans="1:17" x14ac:dyDescent="0.2">
      <c r="A382" s="2" t="s">
        <v>346</v>
      </c>
      <c r="B382" s="2" t="s">
        <v>347</v>
      </c>
      <c r="D382" s="2" t="s">
        <v>348</v>
      </c>
      <c r="E382" s="2" t="s">
        <v>349</v>
      </c>
      <c r="F382" s="3">
        <v>46087.40800560185</v>
      </c>
      <c r="G382" s="2" t="s">
        <v>362</v>
      </c>
      <c r="H382" s="2" t="s">
        <v>363</v>
      </c>
      <c r="I382" s="2" t="s">
        <v>364</v>
      </c>
      <c r="J382" s="3" t="s">
        <v>95</v>
      </c>
      <c r="K382" s="2" t="s">
        <v>353</v>
      </c>
      <c r="L382" s="2"/>
      <c r="M382" s="2" t="s">
        <v>354</v>
      </c>
      <c r="N382" s="2">
        <v>39872</v>
      </c>
      <c r="P382" s="2" t="s">
        <v>365</v>
      </c>
      <c r="Q382" s="2" t="s">
        <v>366</v>
      </c>
    </row>
    <row r="383" spans="1:17" x14ac:dyDescent="0.2">
      <c r="A383" s="2" t="s">
        <v>346</v>
      </c>
      <c r="B383" s="2" t="s">
        <v>347</v>
      </c>
      <c r="D383" s="2" t="s">
        <v>348</v>
      </c>
      <c r="E383" s="2" t="s">
        <v>349</v>
      </c>
      <c r="F383" s="3">
        <v>46087.408063738425</v>
      </c>
      <c r="G383" s="2" t="s">
        <v>362</v>
      </c>
      <c r="H383" s="2" t="s">
        <v>363</v>
      </c>
      <c r="I383" s="2" t="s">
        <v>364</v>
      </c>
      <c r="J383" s="3" t="s">
        <v>95</v>
      </c>
      <c r="K383" s="2" t="s">
        <v>353</v>
      </c>
      <c r="L383" s="2"/>
      <c r="M383" s="2" t="s">
        <v>354</v>
      </c>
      <c r="N383" s="2">
        <v>-20396</v>
      </c>
      <c r="P383" s="2" t="s">
        <v>365</v>
      </c>
      <c r="Q383" s="2" t="s">
        <v>366</v>
      </c>
    </row>
    <row r="384" spans="1:17" x14ac:dyDescent="0.2">
      <c r="A384" s="2" t="s">
        <v>346</v>
      </c>
      <c r="B384" s="2" t="s">
        <v>347</v>
      </c>
      <c r="D384" s="2" t="s">
        <v>348</v>
      </c>
      <c r="E384" s="2" t="s">
        <v>349</v>
      </c>
      <c r="F384" s="3">
        <v>46087.408145347224</v>
      </c>
      <c r="G384" s="2" t="s">
        <v>362</v>
      </c>
      <c r="H384" s="2" t="s">
        <v>363</v>
      </c>
      <c r="I384" s="2" t="s">
        <v>364</v>
      </c>
      <c r="J384" s="3" t="s">
        <v>95</v>
      </c>
      <c r="K384" s="2" t="s">
        <v>353</v>
      </c>
      <c r="L384" s="2"/>
      <c r="M384" s="2" t="s">
        <v>354</v>
      </c>
      <c r="N384" s="2">
        <v>8640</v>
      </c>
      <c r="P384" s="2" t="s">
        <v>365</v>
      </c>
      <c r="Q384" s="2" t="s">
        <v>366</v>
      </c>
    </row>
    <row r="385" spans="1:17" x14ac:dyDescent="0.2">
      <c r="A385" s="2" t="s">
        <v>346</v>
      </c>
      <c r="B385" s="2" t="s">
        <v>347</v>
      </c>
      <c r="D385" s="2" t="s">
        <v>348</v>
      </c>
      <c r="E385" s="2" t="s">
        <v>349</v>
      </c>
      <c r="F385" s="3">
        <v>46087.408307789352</v>
      </c>
      <c r="G385" s="2" t="s">
        <v>362</v>
      </c>
      <c r="H385" s="2" t="s">
        <v>363</v>
      </c>
      <c r="I385" s="2" t="s">
        <v>364</v>
      </c>
      <c r="J385" s="3" t="s">
        <v>95</v>
      </c>
      <c r="K385" s="2" t="s">
        <v>353</v>
      </c>
      <c r="L385" s="2"/>
      <c r="M385" s="2" t="s">
        <v>354</v>
      </c>
      <c r="N385" s="2">
        <v>-20634</v>
      </c>
      <c r="P385" s="2" t="s">
        <v>365</v>
      </c>
      <c r="Q385" s="2" t="s">
        <v>366</v>
      </c>
    </row>
    <row r="386" spans="1:17" x14ac:dyDescent="0.2">
      <c r="A386" s="2" t="s">
        <v>346</v>
      </c>
      <c r="B386" s="2" t="s">
        <v>347</v>
      </c>
      <c r="D386" s="2" t="s">
        <v>348</v>
      </c>
      <c r="E386" s="2" t="s">
        <v>349</v>
      </c>
      <c r="F386" s="3">
        <v>46087.40875023148</v>
      </c>
      <c r="G386" s="2" t="s">
        <v>362</v>
      </c>
      <c r="H386" s="2" t="s">
        <v>363</v>
      </c>
      <c r="I386" s="2" t="s">
        <v>364</v>
      </c>
      <c r="J386" s="3" t="s">
        <v>95</v>
      </c>
      <c r="K386" s="2" t="s">
        <v>353</v>
      </c>
      <c r="L386" s="2"/>
      <c r="M386" s="2" t="s">
        <v>354</v>
      </c>
      <c r="N386" s="2">
        <v>2163</v>
      </c>
      <c r="P386" s="2" t="s">
        <v>365</v>
      </c>
      <c r="Q386" s="2" t="s">
        <v>366</v>
      </c>
    </row>
    <row r="387" spans="1:17" x14ac:dyDescent="0.2">
      <c r="A387" s="2" t="s">
        <v>346</v>
      </c>
      <c r="B387" s="2" t="s">
        <v>347</v>
      </c>
      <c r="D387" s="2" t="s">
        <v>348</v>
      </c>
      <c r="E387" s="2" t="s">
        <v>349</v>
      </c>
      <c r="F387" s="3">
        <v>46087.408773460651</v>
      </c>
      <c r="G387" s="2" t="s">
        <v>362</v>
      </c>
      <c r="H387" s="2" t="s">
        <v>363</v>
      </c>
      <c r="I387" s="2" t="s">
        <v>364</v>
      </c>
      <c r="J387" s="3" t="s">
        <v>95</v>
      </c>
      <c r="K387" s="2" t="s">
        <v>353</v>
      </c>
      <c r="L387" s="2"/>
      <c r="M387" s="2" t="s">
        <v>354</v>
      </c>
      <c r="N387" s="2">
        <v>-32262</v>
      </c>
      <c r="P387" s="2" t="s">
        <v>365</v>
      </c>
      <c r="Q387" s="2" t="s">
        <v>366</v>
      </c>
    </row>
    <row r="388" spans="1:17" x14ac:dyDescent="0.2">
      <c r="A388" s="2" t="s">
        <v>346</v>
      </c>
      <c r="B388" s="2" t="s">
        <v>347</v>
      </c>
      <c r="D388" s="2" t="s">
        <v>348</v>
      </c>
      <c r="E388" s="2" t="s">
        <v>349</v>
      </c>
      <c r="F388" s="3">
        <v>46087.408777442128</v>
      </c>
      <c r="G388" s="2" t="s">
        <v>350</v>
      </c>
      <c r="H388" s="2" t="s">
        <v>351</v>
      </c>
      <c r="I388" s="2" t="s">
        <v>352</v>
      </c>
      <c r="J388" s="3" t="s">
        <v>95</v>
      </c>
      <c r="K388" s="2" t="s">
        <v>353</v>
      </c>
      <c r="L388" s="2"/>
      <c r="M388" s="2" t="s">
        <v>354</v>
      </c>
      <c r="N388" s="2">
        <v>62.195</v>
      </c>
      <c r="P388" s="2" t="s">
        <v>355</v>
      </c>
      <c r="Q388" s="2" t="s">
        <v>356</v>
      </c>
    </row>
    <row r="389" spans="1:17" x14ac:dyDescent="0.2">
      <c r="A389" s="2" t="s">
        <v>346</v>
      </c>
      <c r="B389" s="2" t="s">
        <v>347</v>
      </c>
      <c r="D389" s="2" t="s">
        <v>348</v>
      </c>
      <c r="E389" s="2" t="s">
        <v>349</v>
      </c>
      <c r="F389" s="3">
        <v>46087.409168379629</v>
      </c>
      <c r="G389" s="2" t="s">
        <v>362</v>
      </c>
      <c r="H389" s="2" t="s">
        <v>363</v>
      </c>
      <c r="I389" s="2" t="s">
        <v>364</v>
      </c>
      <c r="J389" s="3" t="s">
        <v>95</v>
      </c>
      <c r="K389" s="2" t="s">
        <v>353</v>
      </c>
      <c r="L389" s="2"/>
      <c r="M389" s="2" t="s">
        <v>354</v>
      </c>
      <c r="N389" s="2">
        <v>-9996</v>
      </c>
      <c r="P389" s="2" t="s">
        <v>365</v>
      </c>
      <c r="Q389" s="2" t="s">
        <v>366</v>
      </c>
    </row>
    <row r="390" spans="1:17" x14ac:dyDescent="0.2">
      <c r="A390" s="2" t="s">
        <v>346</v>
      </c>
      <c r="B390" s="2" t="s">
        <v>347</v>
      </c>
      <c r="D390" s="2" t="s">
        <v>348</v>
      </c>
      <c r="E390" s="2" t="s">
        <v>349</v>
      </c>
      <c r="F390" s="3">
        <v>46087.409191620369</v>
      </c>
      <c r="G390" s="2" t="s">
        <v>362</v>
      </c>
      <c r="H390" s="2" t="s">
        <v>363</v>
      </c>
      <c r="I390" s="2" t="s">
        <v>364</v>
      </c>
      <c r="J390" s="3" t="s">
        <v>95</v>
      </c>
      <c r="K390" s="2" t="s">
        <v>353</v>
      </c>
      <c r="L390" s="2"/>
      <c r="M390" s="2" t="s">
        <v>354</v>
      </c>
      <c r="N390" s="2">
        <v>-42347</v>
      </c>
      <c r="P390" s="2" t="s">
        <v>365</v>
      </c>
      <c r="Q390" s="2" t="s">
        <v>366</v>
      </c>
    </row>
    <row r="391" spans="1:17" x14ac:dyDescent="0.2">
      <c r="A391" s="2" t="s">
        <v>346</v>
      </c>
      <c r="B391" s="2" t="s">
        <v>347</v>
      </c>
      <c r="D391" s="2" t="s">
        <v>348</v>
      </c>
      <c r="E391" s="2" t="s">
        <v>349</v>
      </c>
      <c r="F391" s="3">
        <v>46087.409260706016</v>
      </c>
      <c r="G391" s="2" t="s">
        <v>357</v>
      </c>
      <c r="H391" s="2" t="s">
        <v>358</v>
      </c>
      <c r="I391" s="2" t="s">
        <v>359</v>
      </c>
      <c r="J391" s="3" t="s">
        <v>95</v>
      </c>
      <c r="K391" s="2" t="s">
        <v>353</v>
      </c>
      <c r="L391" s="2"/>
      <c r="M391" s="2" t="s">
        <v>354</v>
      </c>
      <c r="N391" s="2">
        <v>368</v>
      </c>
      <c r="P391" s="2" t="s">
        <v>360</v>
      </c>
      <c r="Q391" s="2" t="s">
        <v>361</v>
      </c>
    </row>
    <row r="392" spans="1:17" x14ac:dyDescent="0.2">
      <c r="A392" s="2" t="s">
        <v>346</v>
      </c>
      <c r="B392" s="2" t="s">
        <v>347</v>
      </c>
      <c r="D392" s="2" t="s">
        <v>348</v>
      </c>
      <c r="E392" s="2" t="s">
        <v>349</v>
      </c>
      <c r="F392" s="3">
        <v>46087.409493819447</v>
      </c>
      <c r="G392" s="2" t="s">
        <v>362</v>
      </c>
      <c r="H392" s="2" t="s">
        <v>363</v>
      </c>
      <c r="I392" s="2" t="s">
        <v>364</v>
      </c>
      <c r="J392" s="3" t="s">
        <v>95</v>
      </c>
      <c r="K392" s="2" t="s">
        <v>353</v>
      </c>
      <c r="L392" s="2"/>
      <c r="M392" s="2" t="s">
        <v>354</v>
      </c>
      <c r="N392" s="2">
        <v>14640</v>
      </c>
      <c r="P392" s="2" t="s">
        <v>365</v>
      </c>
      <c r="Q392" s="2" t="s">
        <v>366</v>
      </c>
    </row>
    <row r="393" spans="1:17" x14ac:dyDescent="0.2">
      <c r="A393" s="2" t="s">
        <v>346</v>
      </c>
      <c r="B393" s="2" t="s">
        <v>347</v>
      </c>
      <c r="D393" s="2" t="s">
        <v>348</v>
      </c>
      <c r="E393" s="2" t="s">
        <v>349</v>
      </c>
      <c r="F393" s="3">
        <v>46087.409563437497</v>
      </c>
      <c r="G393" s="2" t="s">
        <v>362</v>
      </c>
      <c r="H393" s="2" t="s">
        <v>363</v>
      </c>
      <c r="I393" s="2" t="s">
        <v>364</v>
      </c>
      <c r="J393" s="3" t="s">
        <v>95</v>
      </c>
      <c r="K393" s="2" t="s">
        <v>353</v>
      </c>
      <c r="L393" s="2"/>
      <c r="M393" s="2" t="s">
        <v>354</v>
      </c>
      <c r="N393" s="2">
        <v>-33169</v>
      </c>
      <c r="P393" s="2" t="s">
        <v>365</v>
      </c>
      <c r="Q393" s="2" t="s">
        <v>366</v>
      </c>
    </row>
    <row r="394" spans="1:17" x14ac:dyDescent="0.2">
      <c r="A394" s="2" t="s">
        <v>346</v>
      </c>
      <c r="B394" s="2" t="s">
        <v>347</v>
      </c>
      <c r="D394" s="2" t="s">
        <v>348</v>
      </c>
      <c r="E394" s="2" t="s">
        <v>349</v>
      </c>
      <c r="F394" s="3">
        <v>46087.409667974534</v>
      </c>
      <c r="G394" s="2" t="s">
        <v>362</v>
      </c>
      <c r="H394" s="2" t="s">
        <v>363</v>
      </c>
      <c r="I394" s="2" t="s">
        <v>364</v>
      </c>
      <c r="J394" s="3" t="s">
        <v>95</v>
      </c>
      <c r="K394" s="2" t="s">
        <v>353</v>
      </c>
      <c r="L394" s="2"/>
      <c r="M394" s="2" t="s">
        <v>354</v>
      </c>
      <c r="N394" s="2">
        <v>7260</v>
      </c>
      <c r="P394" s="2" t="s">
        <v>365</v>
      </c>
      <c r="Q394" s="2" t="s">
        <v>366</v>
      </c>
    </row>
    <row r="395" spans="1:17" x14ac:dyDescent="0.2">
      <c r="A395" s="2" t="s">
        <v>346</v>
      </c>
      <c r="B395" s="2" t="s">
        <v>347</v>
      </c>
      <c r="D395" s="2" t="s">
        <v>348</v>
      </c>
      <c r="E395" s="2" t="s">
        <v>349</v>
      </c>
      <c r="F395" s="3">
        <v>46087.409842349538</v>
      </c>
      <c r="G395" s="2" t="s">
        <v>362</v>
      </c>
      <c r="H395" s="2" t="s">
        <v>363</v>
      </c>
      <c r="I395" s="2" t="s">
        <v>364</v>
      </c>
      <c r="J395" s="3" t="s">
        <v>95</v>
      </c>
      <c r="K395" s="2" t="s">
        <v>353</v>
      </c>
      <c r="L395" s="2"/>
      <c r="M395" s="2" t="s">
        <v>354</v>
      </c>
      <c r="N395" s="2">
        <v>-32112</v>
      </c>
      <c r="P395" s="2" t="s">
        <v>365</v>
      </c>
      <c r="Q395" s="2" t="s">
        <v>366</v>
      </c>
    </row>
    <row r="396" spans="1:17" x14ac:dyDescent="0.2">
      <c r="A396" s="2" t="s">
        <v>346</v>
      </c>
      <c r="B396" s="2" t="s">
        <v>347</v>
      </c>
      <c r="D396" s="2" t="s">
        <v>348</v>
      </c>
      <c r="E396" s="2" t="s">
        <v>349</v>
      </c>
      <c r="F396" s="3">
        <v>46087.409981689816</v>
      </c>
      <c r="G396" s="2" t="s">
        <v>362</v>
      </c>
      <c r="H396" s="2" t="s">
        <v>363</v>
      </c>
      <c r="I396" s="2" t="s">
        <v>364</v>
      </c>
      <c r="J396" s="3" t="s">
        <v>95</v>
      </c>
      <c r="K396" s="2" t="s">
        <v>353</v>
      </c>
      <c r="L396" s="2"/>
      <c r="M396" s="2" t="s">
        <v>354</v>
      </c>
      <c r="N396" s="2">
        <v>-30378</v>
      </c>
      <c r="P396" s="2" t="s">
        <v>365</v>
      </c>
      <c r="Q396" s="2" t="s">
        <v>366</v>
      </c>
    </row>
    <row r="397" spans="1:17" x14ac:dyDescent="0.2">
      <c r="A397" s="2" t="s">
        <v>346</v>
      </c>
      <c r="B397" s="2" t="s">
        <v>347</v>
      </c>
      <c r="D397" s="2" t="s">
        <v>348</v>
      </c>
      <c r="E397" s="2" t="s">
        <v>349</v>
      </c>
      <c r="F397" s="3">
        <v>46087.410074513886</v>
      </c>
      <c r="G397" s="2" t="s">
        <v>362</v>
      </c>
      <c r="H397" s="2" t="s">
        <v>363</v>
      </c>
      <c r="I397" s="2" t="s">
        <v>364</v>
      </c>
      <c r="J397" s="3" t="s">
        <v>95</v>
      </c>
      <c r="K397" s="2" t="s">
        <v>353</v>
      </c>
      <c r="L397" s="2"/>
      <c r="M397" s="2" t="s">
        <v>354</v>
      </c>
      <c r="N397" s="2">
        <v>32896</v>
      </c>
      <c r="P397" s="2" t="s">
        <v>365</v>
      </c>
      <c r="Q397" s="2" t="s">
        <v>366</v>
      </c>
    </row>
    <row r="398" spans="1:17" x14ac:dyDescent="0.2">
      <c r="A398" s="2" t="s">
        <v>346</v>
      </c>
      <c r="B398" s="2" t="s">
        <v>347</v>
      </c>
      <c r="D398" s="2" t="s">
        <v>348</v>
      </c>
      <c r="E398" s="2" t="s">
        <v>349</v>
      </c>
      <c r="F398" s="3">
        <v>46087.41013246528</v>
      </c>
      <c r="G398" s="2" t="s">
        <v>362</v>
      </c>
      <c r="H398" s="2" t="s">
        <v>363</v>
      </c>
      <c r="I398" s="2" t="s">
        <v>364</v>
      </c>
      <c r="J398" s="3" t="s">
        <v>95</v>
      </c>
      <c r="K398" s="2" t="s">
        <v>353</v>
      </c>
      <c r="L398" s="2"/>
      <c r="M398" s="2" t="s">
        <v>354</v>
      </c>
      <c r="N398" s="2">
        <v>-3064</v>
      </c>
      <c r="P398" s="2" t="s">
        <v>365</v>
      </c>
      <c r="Q398" s="2" t="s">
        <v>366</v>
      </c>
    </row>
    <row r="399" spans="1:17" x14ac:dyDescent="0.2">
      <c r="A399" s="2" t="s">
        <v>346</v>
      </c>
      <c r="B399" s="2" t="s">
        <v>347</v>
      </c>
      <c r="D399" s="2" t="s">
        <v>348</v>
      </c>
      <c r="E399" s="2" t="s">
        <v>349</v>
      </c>
      <c r="F399" s="3">
        <v>46087.410411562501</v>
      </c>
      <c r="G399" s="2" t="s">
        <v>362</v>
      </c>
      <c r="H399" s="2" t="s">
        <v>363</v>
      </c>
      <c r="I399" s="2" t="s">
        <v>364</v>
      </c>
      <c r="J399" s="3" t="s">
        <v>95</v>
      </c>
      <c r="K399" s="2" t="s">
        <v>353</v>
      </c>
      <c r="L399" s="2"/>
      <c r="M399" s="2" t="s">
        <v>354</v>
      </c>
      <c r="N399" s="2">
        <v>8856</v>
      </c>
      <c r="P399" s="2" t="s">
        <v>365</v>
      </c>
      <c r="Q399" s="2" t="s">
        <v>366</v>
      </c>
    </row>
    <row r="400" spans="1:17" x14ac:dyDescent="0.2">
      <c r="A400" s="2" t="s">
        <v>346</v>
      </c>
      <c r="B400" s="2" t="s">
        <v>347</v>
      </c>
      <c r="D400" s="2" t="s">
        <v>348</v>
      </c>
      <c r="E400" s="2" t="s">
        <v>349</v>
      </c>
      <c r="F400" s="3">
        <v>46087.410516226853</v>
      </c>
      <c r="G400" s="2" t="s">
        <v>362</v>
      </c>
      <c r="H400" s="2" t="s">
        <v>363</v>
      </c>
      <c r="I400" s="2" t="s">
        <v>364</v>
      </c>
      <c r="J400" s="3" t="s">
        <v>95</v>
      </c>
      <c r="K400" s="2" t="s">
        <v>353</v>
      </c>
      <c r="L400" s="2"/>
      <c r="M400" s="2" t="s">
        <v>354</v>
      </c>
      <c r="N400" s="2">
        <v>-31668</v>
      </c>
      <c r="P400" s="2" t="s">
        <v>365</v>
      </c>
      <c r="Q400" s="2" t="s">
        <v>366</v>
      </c>
    </row>
    <row r="401" spans="1:17" x14ac:dyDescent="0.2">
      <c r="A401" s="2" t="s">
        <v>346</v>
      </c>
      <c r="B401" s="2" t="s">
        <v>347</v>
      </c>
      <c r="D401" s="2" t="s">
        <v>348</v>
      </c>
      <c r="E401" s="2" t="s">
        <v>349</v>
      </c>
      <c r="F401" s="3">
        <v>46087.410703078705</v>
      </c>
      <c r="G401" s="2" t="s">
        <v>362</v>
      </c>
      <c r="H401" s="2" t="s">
        <v>363</v>
      </c>
      <c r="I401" s="2" t="s">
        <v>364</v>
      </c>
      <c r="J401" s="3" t="s">
        <v>95</v>
      </c>
      <c r="K401" s="2" t="s">
        <v>353</v>
      </c>
      <c r="L401" s="2"/>
      <c r="M401" s="2" t="s">
        <v>354</v>
      </c>
      <c r="N401" s="2">
        <v>-9464</v>
      </c>
      <c r="P401" s="2" t="s">
        <v>365</v>
      </c>
      <c r="Q401" s="2" t="s">
        <v>366</v>
      </c>
    </row>
    <row r="402" spans="1:17" x14ac:dyDescent="0.2">
      <c r="A402" s="2" t="s">
        <v>346</v>
      </c>
      <c r="B402" s="2" t="s">
        <v>347</v>
      </c>
      <c r="D402" s="2" t="s">
        <v>348</v>
      </c>
      <c r="E402" s="2" t="s">
        <v>349</v>
      </c>
      <c r="F402" s="3">
        <v>46087.410737939812</v>
      </c>
      <c r="G402" s="2" t="s">
        <v>362</v>
      </c>
      <c r="H402" s="2" t="s">
        <v>363</v>
      </c>
      <c r="I402" s="2" t="s">
        <v>364</v>
      </c>
      <c r="J402" s="3" t="s">
        <v>95</v>
      </c>
      <c r="K402" s="2" t="s">
        <v>353</v>
      </c>
      <c r="L402" s="2"/>
      <c r="M402" s="2" t="s">
        <v>354</v>
      </c>
      <c r="N402" s="2">
        <v>-39839</v>
      </c>
      <c r="P402" s="2" t="s">
        <v>365</v>
      </c>
      <c r="Q402" s="2" t="s">
        <v>366</v>
      </c>
    </row>
    <row r="403" spans="1:17" x14ac:dyDescent="0.2">
      <c r="A403" s="2" t="s">
        <v>346</v>
      </c>
      <c r="B403" s="2" t="s">
        <v>347</v>
      </c>
      <c r="D403" s="2" t="s">
        <v>348</v>
      </c>
      <c r="E403" s="2" t="s">
        <v>349</v>
      </c>
      <c r="F403" s="3">
        <v>46087.410795763892</v>
      </c>
      <c r="G403" s="2" t="s">
        <v>362</v>
      </c>
      <c r="H403" s="2" t="s">
        <v>363</v>
      </c>
      <c r="I403" s="2" t="s">
        <v>364</v>
      </c>
      <c r="J403" s="3" t="s">
        <v>95</v>
      </c>
      <c r="K403" s="2" t="s">
        <v>353</v>
      </c>
      <c r="L403" s="2"/>
      <c r="M403" s="2" t="s">
        <v>354</v>
      </c>
      <c r="N403" s="2">
        <v>9112</v>
      </c>
      <c r="P403" s="2" t="s">
        <v>365</v>
      </c>
      <c r="Q403" s="2" t="s">
        <v>366</v>
      </c>
    </row>
    <row r="404" spans="1:17" x14ac:dyDescent="0.2">
      <c r="A404" s="2" t="s">
        <v>346</v>
      </c>
      <c r="B404" s="2" t="s">
        <v>347</v>
      </c>
      <c r="D404" s="2" t="s">
        <v>348</v>
      </c>
      <c r="E404" s="2" t="s">
        <v>349</v>
      </c>
      <c r="F404" s="3">
        <v>46087.410864571757</v>
      </c>
      <c r="G404" s="2" t="s">
        <v>350</v>
      </c>
      <c r="H404" s="2" t="s">
        <v>351</v>
      </c>
      <c r="I404" s="2" t="s">
        <v>352</v>
      </c>
      <c r="J404" s="3" t="s">
        <v>95</v>
      </c>
      <c r="K404" s="2" t="s">
        <v>353</v>
      </c>
      <c r="L404" s="2"/>
      <c r="M404" s="2" t="s">
        <v>354</v>
      </c>
      <c r="N404" s="2">
        <v>63.414999999999999</v>
      </c>
      <c r="P404" s="2" t="s">
        <v>355</v>
      </c>
      <c r="Q404" s="2" t="s">
        <v>356</v>
      </c>
    </row>
    <row r="405" spans="1:17" x14ac:dyDescent="0.2">
      <c r="A405" s="2" t="s">
        <v>346</v>
      </c>
      <c r="B405" s="2" t="s">
        <v>347</v>
      </c>
      <c r="D405" s="2" t="s">
        <v>348</v>
      </c>
      <c r="E405" s="2" t="s">
        <v>349</v>
      </c>
      <c r="F405" s="3">
        <v>46087.411086701388</v>
      </c>
      <c r="G405" s="2" t="s">
        <v>362</v>
      </c>
      <c r="H405" s="2" t="s">
        <v>363</v>
      </c>
      <c r="I405" s="2" t="s">
        <v>364</v>
      </c>
      <c r="J405" s="3" t="s">
        <v>95</v>
      </c>
      <c r="K405" s="2" t="s">
        <v>353</v>
      </c>
      <c r="L405" s="2"/>
      <c r="M405" s="2" t="s">
        <v>354</v>
      </c>
      <c r="N405" s="2">
        <v>25848</v>
      </c>
      <c r="P405" s="2" t="s">
        <v>365</v>
      </c>
      <c r="Q405" s="2" t="s">
        <v>366</v>
      </c>
    </row>
    <row r="406" spans="1:17" x14ac:dyDescent="0.2">
      <c r="A406" s="2" t="s">
        <v>346</v>
      </c>
      <c r="B406" s="2" t="s">
        <v>347</v>
      </c>
      <c r="D406" s="2" t="s">
        <v>348</v>
      </c>
      <c r="E406" s="2" t="s">
        <v>349</v>
      </c>
      <c r="F406" s="3">
        <v>46087.411121689816</v>
      </c>
      <c r="G406" s="2" t="s">
        <v>362</v>
      </c>
      <c r="H406" s="2" t="s">
        <v>363</v>
      </c>
      <c r="I406" s="2" t="s">
        <v>364</v>
      </c>
      <c r="J406" s="3" t="s">
        <v>95</v>
      </c>
      <c r="K406" s="2" t="s">
        <v>353</v>
      </c>
      <c r="L406" s="2"/>
      <c r="M406" s="2" t="s">
        <v>354</v>
      </c>
      <c r="N406" s="2">
        <v>-4512</v>
      </c>
      <c r="P406" s="2" t="s">
        <v>365</v>
      </c>
      <c r="Q406" s="2" t="s">
        <v>366</v>
      </c>
    </row>
    <row r="407" spans="1:17" x14ac:dyDescent="0.2">
      <c r="A407" s="2" t="s">
        <v>346</v>
      </c>
      <c r="B407" s="2" t="s">
        <v>347</v>
      </c>
      <c r="D407" s="2" t="s">
        <v>348</v>
      </c>
      <c r="E407" s="2" t="s">
        <v>349</v>
      </c>
      <c r="F407" s="3">
        <v>46087.411203020834</v>
      </c>
      <c r="G407" s="2" t="s">
        <v>362</v>
      </c>
      <c r="H407" s="2" t="s">
        <v>363</v>
      </c>
      <c r="I407" s="2" t="s">
        <v>364</v>
      </c>
      <c r="J407" s="3" t="s">
        <v>95</v>
      </c>
      <c r="K407" s="2" t="s">
        <v>353</v>
      </c>
      <c r="L407" s="2"/>
      <c r="M407" s="2" t="s">
        <v>354</v>
      </c>
      <c r="N407" s="2">
        <v>25060</v>
      </c>
      <c r="P407" s="2" t="s">
        <v>365</v>
      </c>
      <c r="Q407" s="2" t="s">
        <v>366</v>
      </c>
    </row>
    <row r="408" spans="1:17" x14ac:dyDescent="0.2">
      <c r="A408" s="2" t="s">
        <v>346</v>
      </c>
      <c r="B408" s="2" t="s">
        <v>347</v>
      </c>
      <c r="D408" s="2" t="s">
        <v>348</v>
      </c>
      <c r="E408" s="2" t="s">
        <v>349</v>
      </c>
      <c r="F408" s="3">
        <v>46087.41129625</v>
      </c>
      <c r="G408" s="2" t="s">
        <v>362</v>
      </c>
      <c r="H408" s="2" t="s">
        <v>363</v>
      </c>
      <c r="I408" s="2" t="s">
        <v>364</v>
      </c>
      <c r="J408" s="3" t="s">
        <v>95</v>
      </c>
      <c r="K408" s="2" t="s">
        <v>353</v>
      </c>
      <c r="L408" s="2"/>
      <c r="M408" s="2" t="s">
        <v>354</v>
      </c>
      <c r="N408" s="2">
        <v>-42893</v>
      </c>
      <c r="P408" s="2" t="s">
        <v>365</v>
      </c>
      <c r="Q408" s="2" t="s">
        <v>366</v>
      </c>
    </row>
    <row r="409" spans="1:17" x14ac:dyDescent="0.2">
      <c r="A409" s="2" t="s">
        <v>346</v>
      </c>
      <c r="B409" s="2" t="s">
        <v>347</v>
      </c>
      <c r="D409" s="2" t="s">
        <v>348</v>
      </c>
      <c r="E409" s="2" t="s">
        <v>349</v>
      </c>
      <c r="F409" s="3">
        <v>46087.411331469906</v>
      </c>
      <c r="G409" s="2" t="s">
        <v>362</v>
      </c>
      <c r="H409" s="2" t="s">
        <v>363</v>
      </c>
      <c r="I409" s="2" t="s">
        <v>364</v>
      </c>
      <c r="J409" s="3" t="s">
        <v>95</v>
      </c>
      <c r="K409" s="2" t="s">
        <v>353</v>
      </c>
      <c r="L409" s="2"/>
      <c r="M409" s="2" t="s">
        <v>354</v>
      </c>
      <c r="N409" s="2">
        <v>-37128</v>
      </c>
      <c r="P409" s="2" t="s">
        <v>365</v>
      </c>
      <c r="Q409" s="2" t="s">
        <v>366</v>
      </c>
    </row>
    <row r="410" spans="1:17" x14ac:dyDescent="0.2">
      <c r="A410" s="2" t="s">
        <v>346</v>
      </c>
      <c r="B410" s="2" t="s">
        <v>347</v>
      </c>
      <c r="D410" s="2" t="s">
        <v>348</v>
      </c>
      <c r="E410" s="2" t="s">
        <v>349</v>
      </c>
      <c r="F410" s="3">
        <v>46087.411354351854</v>
      </c>
      <c r="G410" s="2" t="s">
        <v>362</v>
      </c>
      <c r="H410" s="2" t="s">
        <v>363</v>
      </c>
      <c r="I410" s="2" t="s">
        <v>364</v>
      </c>
      <c r="J410" s="3" t="s">
        <v>95</v>
      </c>
      <c r="K410" s="2" t="s">
        <v>353</v>
      </c>
      <c r="L410" s="2"/>
      <c r="M410" s="2" t="s">
        <v>354</v>
      </c>
      <c r="N410" s="2">
        <v>6925</v>
      </c>
      <c r="P410" s="2" t="s">
        <v>365</v>
      </c>
      <c r="Q410" s="2" t="s">
        <v>366</v>
      </c>
    </row>
    <row r="411" spans="1:17" x14ac:dyDescent="0.2">
      <c r="A411" s="2" t="s">
        <v>346</v>
      </c>
      <c r="B411" s="2" t="s">
        <v>347</v>
      </c>
      <c r="D411" s="2" t="s">
        <v>348</v>
      </c>
      <c r="E411" s="2" t="s">
        <v>349</v>
      </c>
      <c r="F411" s="3">
        <v>46087.411970624999</v>
      </c>
      <c r="G411" s="2" t="s">
        <v>362</v>
      </c>
      <c r="H411" s="2" t="s">
        <v>363</v>
      </c>
      <c r="I411" s="2" t="s">
        <v>364</v>
      </c>
      <c r="J411" s="3" t="s">
        <v>95</v>
      </c>
      <c r="K411" s="2" t="s">
        <v>353</v>
      </c>
      <c r="L411" s="2"/>
      <c r="M411" s="2" t="s">
        <v>354</v>
      </c>
      <c r="N411" s="2">
        <v>11144</v>
      </c>
      <c r="P411" s="2" t="s">
        <v>365</v>
      </c>
      <c r="Q411" s="2" t="s">
        <v>366</v>
      </c>
    </row>
    <row r="412" spans="1:17" x14ac:dyDescent="0.2">
      <c r="A412" s="2" t="s">
        <v>346</v>
      </c>
      <c r="B412" s="2" t="s">
        <v>347</v>
      </c>
      <c r="D412" s="2" t="s">
        <v>348</v>
      </c>
      <c r="E412" s="2" t="s">
        <v>349</v>
      </c>
      <c r="F412" s="3">
        <v>46087.412028668979</v>
      </c>
      <c r="G412" s="2" t="s">
        <v>362</v>
      </c>
      <c r="H412" s="2" t="s">
        <v>363</v>
      </c>
      <c r="I412" s="2" t="s">
        <v>364</v>
      </c>
      <c r="J412" s="3" t="s">
        <v>95</v>
      </c>
      <c r="K412" s="2" t="s">
        <v>353</v>
      </c>
      <c r="L412" s="2"/>
      <c r="M412" s="2" t="s">
        <v>354</v>
      </c>
      <c r="N412" s="2">
        <v>-42157</v>
      </c>
      <c r="P412" s="2" t="s">
        <v>365</v>
      </c>
      <c r="Q412" s="2" t="s">
        <v>366</v>
      </c>
    </row>
    <row r="413" spans="1:17" x14ac:dyDescent="0.2">
      <c r="A413" s="2" t="s">
        <v>346</v>
      </c>
      <c r="B413" s="2" t="s">
        <v>347</v>
      </c>
      <c r="D413" s="2" t="s">
        <v>348</v>
      </c>
      <c r="E413" s="2" t="s">
        <v>349</v>
      </c>
      <c r="F413" s="3">
        <v>46087.412412291669</v>
      </c>
      <c r="G413" s="2" t="s">
        <v>362</v>
      </c>
      <c r="H413" s="2" t="s">
        <v>363</v>
      </c>
      <c r="I413" s="2" t="s">
        <v>364</v>
      </c>
      <c r="J413" s="3" t="s">
        <v>95</v>
      </c>
      <c r="K413" s="2" t="s">
        <v>353</v>
      </c>
      <c r="L413" s="2"/>
      <c r="M413" s="2" t="s">
        <v>354</v>
      </c>
      <c r="N413" s="2">
        <v>49560</v>
      </c>
      <c r="P413" s="2" t="s">
        <v>365</v>
      </c>
      <c r="Q413" s="2" t="s">
        <v>366</v>
      </c>
    </row>
    <row r="414" spans="1:17" x14ac:dyDescent="0.2">
      <c r="A414" s="2" t="s">
        <v>346</v>
      </c>
      <c r="B414" s="2" t="s">
        <v>347</v>
      </c>
      <c r="D414" s="2" t="s">
        <v>348</v>
      </c>
      <c r="E414" s="2" t="s">
        <v>349</v>
      </c>
      <c r="F414" s="3">
        <v>46087.412516909724</v>
      </c>
      <c r="G414" s="2" t="s">
        <v>362</v>
      </c>
      <c r="H414" s="2" t="s">
        <v>363</v>
      </c>
      <c r="I414" s="2" t="s">
        <v>364</v>
      </c>
      <c r="J414" s="3" t="s">
        <v>95</v>
      </c>
      <c r="K414" s="2" t="s">
        <v>353</v>
      </c>
      <c r="L414" s="2"/>
      <c r="M414" s="2" t="s">
        <v>354</v>
      </c>
      <c r="N414" s="2">
        <v>-14698</v>
      </c>
      <c r="P414" s="2" t="s">
        <v>365</v>
      </c>
      <c r="Q414" s="2" t="s">
        <v>366</v>
      </c>
    </row>
    <row r="415" spans="1:17" x14ac:dyDescent="0.2">
      <c r="A415" s="2" t="s">
        <v>346</v>
      </c>
      <c r="B415" s="2" t="s">
        <v>347</v>
      </c>
      <c r="D415" s="2" t="s">
        <v>348</v>
      </c>
      <c r="E415" s="2" t="s">
        <v>349</v>
      </c>
      <c r="F415" s="3">
        <v>46087.412656342596</v>
      </c>
      <c r="G415" s="2" t="s">
        <v>362</v>
      </c>
      <c r="H415" s="2" t="s">
        <v>363</v>
      </c>
      <c r="I415" s="2" t="s">
        <v>364</v>
      </c>
      <c r="J415" s="3" t="s">
        <v>95</v>
      </c>
      <c r="K415" s="2" t="s">
        <v>353</v>
      </c>
      <c r="L415" s="2"/>
      <c r="M415" s="2" t="s">
        <v>354</v>
      </c>
      <c r="N415" s="2">
        <v>18028</v>
      </c>
      <c r="P415" s="2" t="s">
        <v>365</v>
      </c>
      <c r="Q415" s="2" t="s">
        <v>366</v>
      </c>
    </row>
    <row r="416" spans="1:17" x14ac:dyDescent="0.2">
      <c r="A416" s="2" t="s">
        <v>346</v>
      </c>
      <c r="B416" s="2" t="s">
        <v>347</v>
      </c>
      <c r="D416" s="2" t="s">
        <v>348</v>
      </c>
      <c r="E416" s="2" t="s">
        <v>349</v>
      </c>
      <c r="F416" s="3">
        <v>46087.412911736108</v>
      </c>
      <c r="G416" s="2" t="s">
        <v>362</v>
      </c>
      <c r="H416" s="2" t="s">
        <v>363</v>
      </c>
      <c r="I416" s="2" t="s">
        <v>364</v>
      </c>
      <c r="J416" s="3" t="s">
        <v>95</v>
      </c>
      <c r="K416" s="2" t="s">
        <v>353</v>
      </c>
      <c r="L416" s="2"/>
      <c r="M416" s="2" t="s">
        <v>354</v>
      </c>
      <c r="N416" s="2">
        <v>-9205</v>
      </c>
      <c r="P416" s="2" t="s">
        <v>365</v>
      </c>
      <c r="Q416" s="2" t="s">
        <v>366</v>
      </c>
    </row>
    <row r="417" spans="1:17" x14ac:dyDescent="0.2">
      <c r="A417" s="2" t="s">
        <v>346</v>
      </c>
      <c r="B417" s="2" t="s">
        <v>347</v>
      </c>
      <c r="D417" s="2" t="s">
        <v>348</v>
      </c>
      <c r="E417" s="2" t="s">
        <v>349</v>
      </c>
      <c r="F417" s="3">
        <v>46087.412946689816</v>
      </c>
      <c r="G417" s="2" t="s">
        <v>362</v>
      </c>
      <c r="H417" s="2" t="s">
        <v>363</v>
      </c>
      <c r="I417" s="2" t="s">
        <v>364</v>
      </c>
      <c r="J417" s="3" t="s">
        <v>95</v>
      </c>
      <c r="K417" s="2" t="s">
        <v>353</v>
      </c>
      <c r="L417" s="2"/>
      <c r="M417" s="2" t="s">
        <v>354</v>
      </c>
      <c r="N417" s="2">
        <v>23661</v>
      </c>
      <c r="P417" s="2" t="s">
        <v>365</v>
      </c>
      <c r="Q417" s="2" t="s">
        <v>366</v>
      </c>
    </row>
    <row r="418" spans="1:17" x14ac:dyDescent="0.2">
      <c r="A418" s="2" t="s">
        <v>346</v>
      </c>
      <c r="B418" s="2" t="s">
        <v>347</v>
      </c>
      <c r="D418" s="2" t="s">
        <v>348</v>
      </c>
      <c r="E418" s="2" t="s">
        <v>349</v>
      </c>
      <c r="F418" s="3">
        <v>46087.413062789354</v>
      </c>
      <c r="G418" s="2" t="s">
        <v>362</v>
      </c>
      <c r="H418" s="2" t="s">
        <v>363</v>
      </c>
      <c r="I418" s="2" t="s">
        <v>364</v>
      </c>
      <c r="J418" s="3" t="s">
        <v>95</v>
      </c>
      <c r="K418" s="2" t="s">
        <v>353</v>
      </c>
      <c r="L418" s="2"/>
      <c r="M418" s="2" t="s">
        <v>354</v>
      </c>
      <c r="N418" s="2">
        <v>12138</v>
      </c>
      <c r="P418" s="2" t="s">
        <v>365</v>
      </c>
      <c r="Q418" s="2" t="s">
        <v>366</v>
      </c>
    </row>
    <row r="419" spans="1:17" x14ac:dyDescent="0.2">
      <c r="A419" s="2" t="s">
        <v>346</v>
      </c>
      <c r="B419" s="2" t="s">
        <v>347</v>
      </c>
      <c r="D419" s="2" t="s">
        <v>348</v>
      </c>
      <c r="E419" s="2" t="s">
        <v>349</v>
      </c>
      <c r="F419" s="3">
        <v>46087.413086030094</v>
      </c>
      <c r="G419" s="2" t="s">
        <v>362</v>
      </c>
      <c r="H419" s="2" t="s">
        <v>363</v>
      </c>
      <c r="I419" s="2" t="s">
        <v>364</v>
      </c>
      <c r="J419" s="3" t="s">
        <v>95</v>
      </c>
      <c r="K419" s="2" t="s">
        <v>353</v>
      </c>
      <c r="L419" s="2"/>
      <c r="M419" s="2" t="s">
        <v>354</v>
      </c>
      <c r="N419" s="2">
        <v>-24300</v>
      </c>
      <c r="P419" s="2" t="s">
        <v>365</v>
      </c>
      <c r="Q419" s="2" t="s">
        <v>366</v>
      </c>
    </row>
    <row r="420" spans="1:17" x14ac:dyDescent="0.2">
      <c r="A420" s="2" t="s">
        <v>346</v>
      </c>
      <c r="B420" s="2" t="s">
        <v>347</v>
      </c>
      <c r="D420" s="2" t="s">
        <v>348</v>
      </c>
      <c r="E420" s="2" t="s">
        <v>349</v>
      </c>
      <c r="F420" s="3">
        <v>46087.413109131943</v>
      </c>
      <c r="G420" s="2" t="s">
        <v>362</v>
      </c>
      <c r="H420" s="2" t="s">
        <v>363</v>
      </c>
      <c r="I420" s="2" t="s">
        <v>364</v>
      </c>
      <c r="J420" s="3" t="s">
        <v>95</v>
      </c>
      <c r="K420" s="2" t="s">
        <v>353</v>
      </c>
      <c r="L420" s="2"/>
      <c r="M420" s="2" t="s">
        <v>354</v>
      </c>
      <c r="N420" s="2">
        <v>7200</v>
      </c>
      <c r="P420" s="2" t="s">
        <v>365</v>
      </c>
      <c r="Q420" s="2" t="s">
        <v>366</v>
      </c>
    </row>
    <row r="421" spans="1:17" x14ac:dyDescent="0.2">
      <c r="A421" s="2" t="s">
        <v>346</v>
      </c>
      <c r="B421" s="2" t="s">
        <v>347</v>
      </c>
      <c r="D421" s="2" t="s">
        <v>348</v>
      </c>
      <c r="E421" s="2" t="s">
        <v>349</v>
      </c>
      <c r="F421" s="3">
        <v>46087.41318033565</v>
      </c>
      <c r="G421" s="2" t="s">
        <v>350</v>
      </c>
      <c r="H421" s="2" t="s">
        <v>351</v>
      </c>
      <c r="I421" s="2" t="s">
        <v>352</v>
      </c>
      <c r="J421" s="3" t="s">
        <v>95</v>
      </c>
      <c r="K421" s="2" t="s">
        <v>353</v>
      </c>
      <c r="L421" s="2"/>
      <c r="M421" s="2" t="s">
        <v>354</v>
      </c>
      <c r="N421" s="2">
        <v>62.315000000000005</v>
      </c>
      <c r="P421" s="2" t="s">
        <v>355</v>
      </c>
      <c r="Q421" s="2" t="s">
        <v>356</v>
      </c>
    </row>
    <row r="422" spans="1:17" x14ac:dyDescent="0.2">
      <c r="A422" s="2" t="s">
        <v>346</v>
      </c>
      <c r="B422" s="2" t="s">
        <v>347</v>
      </c>
      <c r="D422" s="2" t="s">
        <v>348</v>
      </c>
      <c r="E422" s="2" t="s">
        <v>349</v>
      </c>
      <c r="F422" s="3">
        <v>46087.413283333335</v>
      </c>
      <c r="G422" s="2" t="s">
        <v>362</v>
      </c>
      <c r="H422" s="2" t="s">
        <v>363</v>
      </c>
      <c r="I422" s="2" t="s">
        <v>364</v>
      </c>
      <c r="J422" s="3" t="s">
        <v>95</v>
      </c>
      <c r="K422" s="2" t="s">
        <v>353</v>
      </c>
      <c r="L422" s="2"/>
      <c r="M422" s="2" t="s">
        <v>354</v>
      </c>
      <c r="N422" s="2">
        <v>40527</v>
      </c>
      <c r="P422" s="2" t="s">
        <v>365</v>
      </c>
      <c r="Q422" s="2" t="s">
        <v>366</v>
      </c>
    </row>
    <row r="423" spans="1:17" x14ac:dyDescent="0.2">
      <c r="A423" s="2" t="s">
        <v>346</v>
      </c>
      <c r="B423" s="2" t="s">
        <v>347</v>
      </c>
      <c r="D423" s="2" t="s">
        <v>348</v>
      </c>
      <c r="E423" s="2" t="s">
        <v>349</v>
      </c>
      <c r="F423" s="3">
        <v>46087.413364618056</v>
      </c>
      <c r="G423" s="2" t="s">
        <v>362</v>
      </c>
      <c r="H423" s="2" t="s">
        <v>363</v>
      </c>
      <c r="I423" s="2" t="s">
        <v>364</v>
      </c>
      <c r="J423" s="3" t="s">
        <v>95</v>
      </c>
      <c r="K423" s="2" t="s">
        <v>353</v>
      </c>
      <c r="L423" s="2"/>
      <c r="M423" s="2" t="s">
        <v>354</v>
      </c>
      <c r="N423" s="2">
        <v>-40152</v>
      </c>
      <c r="P423" s="2" t="s">
        <v>365</v>
      </c>
      <c r="Q423" s="2" t="s">
        <v>366</v>
      </c>
    </row>
    <row r="424" spans="1:17" x14ac:dyDescent="0.2">
      <c r="A424" s="2" t="s">
        <v>346</v>
      </c>
      <c r="B424" s="2" t="s">
        <v>347</v>
      </c>
      <c r="D424" s="2" t="s">
        <v>348</v>
      </c>
      <c r="E424" s="2" t="s">
        <v>349</v>
      </c>
      <c r="F424" s="3">
        <v>46087.413469467596</v>
      </c>
      <c r="G424" s="2" t="s">
        <v>362</v>
      </c>
      <c r="H424" s="2" t="s">
        <v>363</v>
      </c>
      <c r="I424" s="2" t="s">
        <v>364</v>
      </c>
      <c r="J424" s="3" t="s">
        <v>95</v>
      </c>
      <c r="K424" s="2" t="s">
        <v>353</v>
      </c>
      <c r="L424" s="2"/>
      <c r="M424" s="2" t="s">
        <v>354</v>
      </c>
      <c r="N424" s="2">
        <v>23237</v>
      </c>
      <c r="P424" s="2" t="s">
        <v>365</v>
      </c>
      <c r="Q424" s="2" t="s">
        <v>366</v>
      </c>
    </row>
    <row r="425" spans="1:17" x14ac:dyDescent="0.2">
      <c r="A425" s="2" t="s">
        <v>346</v>
      </c>
      <c r="B425" s="2" t="s">
        <v>347</v>
      </c>
      <c r="D425" s="2" t="s">
        <v>348</v>
      </c>
      <c r="E425" s="2" t="s">
        <v>349</v>
      </c>
      <c r="F425" s="3">
        <v>46087.413550752317</v>
      </c>
      <c r="G425" s="2" t="s">
        <v>362</v>
      </c>
      <c r="H425" s="2" t="s">
        <v>363</v>
      </c>
      <c r="I425" s="2" t="s">
        <v>364</v>
      </c>
      <c r="J425" s="3" t="s">
        <v>95</v>
      </c>
      <c r="K425" s="2" t="s">
        <v>353</v>
      </c>
      <c r="L425" s="2"/>
      <c r="M425" s="2" t="s">
        <v>354</v>
      </c>
      <c r="N425" s="2">
        <v>-12600</v>
      </c>
      <c r="P425" s="2" t="s">
        <v>365</v>
      </c>
      <c r="Q425" s="2" t="s">
        <v>366</v>
      </c>
    </row>
    <row r="426" spans="1:17" x14ac:dyDescent="0.2">
      <c r="A426" s="2" t="s">
        <v>346</v>
      </c>
      <c r="B426" s="2" t="s">
        <v>347</v>
      </c>
      <c r="D426" s="2" t="s">
        <v>348</v>
      </c>
      <c r="E426" s="2" t="s">
        <v>349</v>
      </c>
      <c r="F426" s="3">
        <v>46087.413690370369</v>
      </c>
      <c r="G426" s="2" t="s">
        <v>362</v>
      </c>
      <c r="H426" s="2" t="s">
        <v>363</v>
      </c>
      <c r="I426" s="2" t="s">
        <v>364</v>
      </c>
      <c r="J426" s="3" t="s">
        <v>95</v>
      </c>
      <c r="K426" s="2" t="s">
        <v>353</v>
      </c>
      <c r="L426" s="2"/>
      <c r="M426" s="2" t="s">
        <v>354</v>
      </c>
      <c r="N426" s="2">
        <v>27807</v>
      </c>
      <c r="P426" s="2" t="s">
        <v>365</v>
      </c>
      <c r="Q426" s="2" t="s">
        <v>366</v>
      </c>
    </row>
    <row r="427" spans="1:17" x14ac:dyDescent="0.2">
      <c r="A427" s="2" t="s">
        <v>346</v>
      </c>
      <c r="B427" s="2" t="s">
        <v>347</v>
      </c>
      <c r="D427" s="2" t="s">
        <v>348</v>
      </c>
      <c r="E427" s="2" t="s">
        <v>349</v>
      </c>
      <c r="F427" s="3">
        <v>46087.413736886578</v>
      </c>
      <c r="G427" s="2" t="s">
        <v>362</v>
      </c>
      <c r="H427" s="2" t="s">
        <v>363</v>
      </c>
      <c r="I427" s="2" t="s">
        <v>364</v>
      </c>
      <c r="J427" s="3" t="s">
        <v>95</v>
      </c>
      <c r="K427" s="2" t="s">
        <v>353</v>
      </c>
      <c r="L427" s="2"/>
      <c r="M427" s="2" t="s">
        <v>354</v>
      </c>
      <c r="N427" s="2">
        <v>-21330</v>
      </c>
      <c r="P427" s="2" t="s">
        <v>365</v>
      </c>
      <c r="Q427" s="2" t="s">
        <v>366</v>
      </c>
    </row>
    <row r="428" spans="1:17" x14ac:dyDescent="0.2">
      <c r="A428" s="2" t="s">
        <v>346</v>
      </c>
      <c r="B428" s="2" t="s">
        <v>347</v>
      </c>
      <c r="D428" s="2" t="s">
        <v>348</v>
      </c>
      <c r="E428" s="2" t="s">
        <v>349</v>
      </c>
      <c r="F428" s="3">
        <v>46087.413794942127</v>
      </c>
      <c r="G428" s="2" t="s">
        <v>362</v>
      </c>
      <c r="H428" s="2" t="s">
        <v>363</v>
      </c>
      <c r="I428" s="2" t="s">
        <v>364</v>
      </c>
      <c r="J428" s="3" t="s">
        <v>95</v>
      </c>
      <c r="K428" s="2" t="s">
        <v>353</v>
      </c>
      <c r="L428" s="2"/>
      <c r="M428" s="2" t="s">
        <v>354</v>
      </c>
      <c r="N428" s="2">
        <v>6094</v>
      </c>
      <c r="P428" s="2" t="s">
        <v>365</v>
      </c>
      <c r="Q428" s="2" t="s">
        <v>366</v>
      </c>
    </row>
    <row r="429" spans="1:17" x14ac:dyDescent="0.2">
      <c r="A429" s="2" t="s">
        <v>346</v>
      </c>
      <c r="B429" s="2" t="s">
        <v>347</v>
      </c>
      <c r="D429" s="2" t="s">
        <v>348</v>
      </c>
      <c r="E429" s="2" t="s">
        <v>349</v>
      </c>
      <c r="F429" s="3">
        <v>46087.414166979164</v>
      </c>
      <c r="G429" s="2" t="s">
        <v>362</v>
      </c>
      <c r="H429" s="2" t="s">
        <v>363</v>
      </c>
      <c r="I429" s="2" t="s">
        <v>364</v>
      </c>
      <c r="J429" s="3" t="s">
        <v>95</v>
      </c>
      <c r="K429" s="2" t="s">
        <v>353</v>
      </c>
      <c r="L429" s="2"/>
      <c r="M429" s="2" t="s">
        <v>354</v>
      </c>
      <c r="N429" s="2">
        <v>-28119</v>
      </c>
      <c r="P429" s="2" t="s">
        <v>365</v>
      </c>
      <c r="Q429" s="2" t="s">
        <v>366</v>
      </c>
    </row>
    <row r="430" spans="1:17" x14ac:dyDescent="0.2">
      <c r="A430" s="2" t="s">
        <v>346</v>
      </c>
      <c r="B430" s="2" t="s">
        <v>347</v>
      </c>
      <c r="D430" s="2" t="s">
        <v>348</v>
      </c>
      <c r="E430" s="2" t="s">
        <v>349</v>
      </c>
      <c r="F430" s="3">
        <v>46087.414447071758</v>
      </c>
      <c r="G430" s="2" t="s">
        <v>362</v>
      </c>
      <c r="H430" s="2" t="s">
        <v>363</v>
      </c>
      <c r="I430" s="2" t="s">
        <v>364</v>
      </c>
      <c r="J430" s="3" t="s">
        <v>95</v>
      </c>
      <c r="K430" s="2" t="s">
        <v>353</v>
      </c>
      <c r="L430" s="2"/>
      <c r="M430" s="2" t="s">
        <v>354</v>
      </c>
      <c r="N430" s="2">
        <v>-27816</v>
      </c>
      <c r="P430" s="2" t="s">
        <v>365</v>
      </c>
      <c r="Q430" s="2" t="s">
        <v>366</v>
      </c>
    </row>
    <row r="431" spans="1:17" x14ac:dyDescent="0.2">
      <c r="A431" s="2" t="s">
        <v>346</v>
      </c>
      <c r="B431" s="2" t="s">
        <v>347</v>
      </c>
      <c r="D431" s="2" t="s">
        <v>348</v>
      </c>
      <c r="E431" s="2" t="s">
        <v>349</v>
      </c>
      <c r="F431" s="3">
        <v>46087.414575104165</v>
      </c>
      <c r="G431" s="2" t="s">
        <v>362</v>
      </c>
      <c r="H431" s="2" t="s">
        <v>363</v>
      </c>
      <c r="I431" s="2" t="s">
        <v>364</v>
      </c>
      <c r="J431" s="3" t="s">
        <v>95</v>
      </c>
      <c r="K431" s="2" t="s">
        <v>353</v>
      </c>
      <c r="L431" s="2"/>
      <c r="M431" s="2" t="s">
        <v>354</v>
      </c>
      <c r="N431" s="2">
        <v>540</v>
      </c>
      <c r="P431" s="2" t="s">
        <v>365</v>
      </c>
      <c r="Q431" s="2" t="s">
        <v>366</v>
      </c>
    </row>
    <row r="432" spans="1:17" x14ac:dyDescent="0.2">
      <c r="A432" s="2" t="s">
        <v>346</v>
      </c>
      <c r="B432" s="2" t="s">
        <v>347</v>
      </c>
      <c r="D432" s="2" t="s">
        <v>348</v>
      </c>
      <c r="E432" s="2" t="s">
        <v>349</v>
      </c>
      <c r="F432" s="3">
        <v>46087.414586631945</v>
      </c>
      <c r="G432" s="2" t="s">
        <v>362</v>
      </c>
      <c r="H432" s="2" t="s">
        <v>363</v>
      </c>
      <c r="I432" s="2" t="s">
        <v>364</v>
      </c>
      <c r="J432" s="3" t="s">
        <v>95</v>
      </c>
      <c r="K432" s="2" t="s">
        <v>353</v>
      </c>
      <c r="L432" s="2"/>
      <c r="M432" s="2" t="s">
        <v>354</v>
      </c>
      <c r="N432" s="2">
        <v>31183</v>
      </c>
      <c r="P432" s="2" t="s">
        <v>365</v>
      </c>
      <c r="Q432" s="2" t="s">
        <v>366</v>
      </c>
    </row>
    <row r="433" spans="1:17" x14ac:dyDescent="0.2">
      <c r="A433" s="2" t="s">
        <v>346</v>
      </c>
      <c r="B433" s="2" t="s">
        <v>347</v>
      </c>
      <c r="D433" s="2" t="s">
        <v>348</v>
      </c>
      <c r="E433" s="2" t="s">
        <v>349</v>
      </c>
      <c r="F433" s="3">
        <v>46087.414621539348</v>
      </c>
      <c r="G433" s="2" t="s">
        <v>362</v>
      </c>
      <c r="H433" s="2" t="s">
        <v>363</v>
      </c>
      <c r="I433" s="2" t="s">
        <v>364</v>
      </c>
      <c r="J433" s="3" t="s">
        <v>95</v>
      </c>
      <c r="K433" s="2" t="s">
        <v>353</v>
      </c>
      <c r="L433" s="2"/>
      <c r="M433" s="2" t="s">
        <v>354</v>
      </c>
      <c r="N433" s="2">
        <v>-24985</v>
      </c>
      <c r="P433" s="2" t="s">
        <v>365</v>
      </c>
      <c r="Q433" s="2" t="s">
        <v>366</v>
      </c>
    </row>
    <row r="434" spans="1:17" x14ac:dyDescent="0.2">
      <c r="A434" s="2" t="s">
        <v>346</v>
      </c>
      <c r="B434" s="2" t="s">
        <v>347</v>
      </c>
      <c r="D434" s="2" t="s">
        <v>348</v>
      </c>
      <c r="E434" s="2" t="s">
        <v>349</v>
      </c>
      <c r="F434" s="3">
        <v>46087.414644687502</v>
      </c>
      <c r="G434" s="2" t="s">
        <v>362</v>
      </c>
      <c r="H434" s="2" t="s">
        <v>363</v>
      </c>
      <c r="I434" s="2" t="s">
        <v>364</v>
      </c>
      <c r="J434" s="3" t="s">
        <v>95</v>
      </c>
      <c r="K434" s="2" t="s">
        <v>353</v>
      </c>
      <c r="L434" s="2"/>
      <c r="M434" s="2" t="s">
        <v>354</v>
      </c>
      <c r="N434" s="2">
        <v>17400</v>
      </c>
      <c r="P434" s="2" t="s">
        <v>365</v>
      </c>
      <c r="Q434" s="2" t="s">
        <v>366</v>
      </c>
    </row>
    <row r="435" spans="1:17" x14ac:dyDescent="0.2">
      <c r="A435" s="2" t="s">
        <v>346</v>
      </c>
      <c r="B435" s="2" t="s">
        <v>347</v>
      </c>
      <c r="D435" s="2" t="s">
        <v>348</v>
      </c>
      <c r="E435" s="2" t="s">
        <v>349</v>
      </c>
      <c r="F435" s="3">
        <v>46087.414830046298</v>
      </c>
      <c r="G435" s="2" t="s">
        <v>357</v>
      </c>
      <c r="H435" s="2" t="s">
        <v>358</v>
      </c>
      <c r="I435" s="2" t="s">
        <v>359</v>
      </c>
      <c r="J435" s="3" t="s">
        <v>95</v>
      </c>
      <c r="K435" s="2" t="s">
        <v>353</v>
      </c>
      <c r="L435" s="2"/>
      <c r="M435" s="2" t="s">
        <v>354</v>
      </c>
      <c r="N435" s="2">
        <v>355.5</v>
      </c>
      <c r="P435" s="2" t="s">
        <v>360</v>
      </c>
      <c r="Q435" s="2" t="s">
        <v>361</v>
      </c>
    </row>
    <row r="436" spans="1:17" x14ac:dyDescent="0.2">
      <c r="A436" s="2" t="s">
        <v>346</v>
      </c>
      <c r="B436" s="2" t="s">
        <v>347</v>
      </c>
      <c r="D436" s="2" t="s">
        <v>348</v>
      </c>
      <c r="E436" s="2" t="s">
        <v>349</v>
      </c>
      <c r="F436" s="3">
        <v>46087.415214212961</v>
      </c>
      <c r="G436" s="2" t="s">
        <v>362</v>
      </c>
      <c r="H436" s="2" t="s">
        <v>363</v>
      </c>
      <c r="I436" s="2" t="s">
        <v>364</v>
      </c>
      <c r="J436" s="3" t="s">
        <v>95</v>
      </c>
      <c r="K436" s="2" t="s">
        <v>353</v>
      </c>
      <c r="L436" s="2"/>
      <c r="M436" s="2" t="s">
        <v>354</v>
      </c>
      <c r="N436" s="2">
        <v>28674</v>
      </c>
      <c r="P436" s="2" t="s">
        <v>365</v>
      </c>
      <c r="Q436" s="2" t="s">
        <v>366</v>
      </c>
    </row>
    <row r="437" spans="1:17" x14ac:dyDescent="0.2">
      <c r="A437" s="2" t="s">
        <v>346</v>
      </c>
      <c r="B437" s="2" t="s">
        <v>347</v>
      </c>
      <c r="D437" s="2" t="s">
        <v>348</v>
      </c>
      <c r="E437" s="2" t="s">
        <v>349</v>
      </c>
      <c r="F437" s="3">
        <v>46087.415272303238</v>
      </c>
      <c r="G437" s="2" t="s">
        <v>362</v>
      </c>
      <c r="H437" s="2" t="s">
        <v>363</v>
      </c>
      <c r="I437" s="2" t="s">
        <v>364</v>
      </c>
      <c r="J437" s="3" t="s">
        <v>95</v>
      </c>
      <c r="K437" s="2" t="s">
        <v>353</v>
      </c>
      <c r="L437" s="2"/>
      <c r="M437" s="2" t="s">
        <v>354</v>
      </c>
      <c r="N437" s="2">
        <v>-2673</v>
      </c>
      <c r="P437" s="2" t="s">
        <v>365</v>
      </c>
      <c r="Q437" s="2" t="s">
        <v>366</v>
      </c>
    </row>
    <row r="438" spans="1:17" x14ac:dyDescent="0.2">
      <c r="A438" s="2" t="s">
        <v>346</v>
      </c>
      <c r="B438" s="2" t="s">
        <v>347</v>
      </c>
      <c r="D438" s="2" t="s">
        <v>348</v>
      </c>
      <c r="E438" s="2" t="s">
        <v>349</v>
      </c>
      <c r="F438" s="3">
        <v>46087.415400115744</v>
      </c>
      <c r="G438" s="2" t="s">
        <v>362</v>
      </c>
      <c r="H438" s="2" t="s">
        <v>363</v>
      </c>
      <c r="I438" s="2" t="s">
        <v>364</v>
      </c>
      <c r="J438" s="3" t="s">
        <v>95</v>
      </c>
      <c r="K438" s="2" t="s">
        <v>353</v>
      </c>
      <c r="L438" s="2"/>
      <c r="M438" s="2" t="s">
        <v>354</v>
      </c>
      <c r="N438" s="2">
        <v>29069</v>
      </c>
      <c r="P438" s="2" t="s">
        <v>365</v>
      </c>
      <c r="Q438" s="2" t="s">
        <v>366</v>
      </c>
    </row>
    <row r="439" spans="1:17" x14ac:dyDescent="0.2">
      <c r="A439" s="2" t="s">
        <v>346</v>
      </c>
      <c r="B439" s="2" t="s">
        <v>347</v>
      </c>
      <c r="D439" s="2" t="s">
        <v>348</v>
      </c>
      <c r="E439" s="2" t="s">
        <v>349</v>
      </c>
      <c r="F439" s="3">
        <v>46087.415469791667</v>
      </c>
      <c r="G439" s="2" t="s">
        <v>362</v>
      </c>
      <c r="H439" s="2" t="s">
        <v>363</v>
      </c>
      <c r="I439" s="2" t="s">
        <v>364</v>
      </c>
      <c r="J439" s="3" t="s">
        <v>95</v>
      </c>
      <c r="K439" s="2" t="s">
        <v>353</v>
      </c>
      <c r="L439" s="2"/>
      <c r="M439" s="2" t="s">
        <v>354</v>
      </c>
      <c r="N439" s="2">
        <v>-12351</v>
      </c>
      <c r="P439" s="2" t="s">
        <v>365</v>
      </c>
      <c r="Q439" s="2" t="s">
        <v>366</v>
      </c>
    </row>
    <row r="440" spans="1:17" x14ac:dyDescent="0.2">
      <c r="A440" s="2" t="s">
        <v>346</v>
      </c>
      <c r="B440" s="2" t="s">
        <v>347</v>
      </c>
      <c r="D440" s="2" t="s">
        <v>348</v>
      </c>
      <c r="E440" s="2" t="s">
        <v>349</v>
      </c>
      <c r="F440" s="3">
        <v>46087.415516261572</v>
      </c>
      <c r="G440" s="2" t="s">
        <v>362</v>
      </c>
      <c r="H440" s="2" t="s">
        <v>363</v>
      </c>
      <c r="I440" s="2" t="s">
        <v>364</v>
      </c>
      <c r="J440" s="3" t="s">
        <v>95</v>
      </c>
      <c r="K440" s="2" t="s">
        <v>353</v>
      </c>
      <c r="L440" s="2"/>
      <c r="M440" s="2" t="s">
        <v>354</v>
      </c>
      <c r="N440" s="2">
        <v>27425</v>
      </c>
      <c r="P440" s="2" t="s">
        <v>365</v>
      </c>
      <c r="Q440" s="2" t="s">
        <v>366</v>
      </c>
    </row>
    <row r="441" spans="1:17" x14ac:dyDescent="0.2">
      <c r="A441" s="2" t="s">
        <v>346</v>
      </c>
      <c r="B441" s="2" t="s">
        <v>347</v>
      </c>
      <c r="D441" s="2" t="s">
        <v>348</v>
      </c>
      <c r="E441" s="2" t="s">
        <v>349</v>
      </c>
      <c r="F441" s="3">
        <v>46087.415667499998</v>
      </c>
      <c r="G441" s="2" t="s">
        <v>362</v>
      </c>
      <c r="H441" s="2" t="s">
        <v>363</v>
      </c>
      <c r="I441" s="2" t="s">
        <v>364</v>
      </c>
      <c r="J441" s="3" t="s">
        <v>95</v>
      </c>
      <c r="K441" s="2" t="s">
        <v>353</v>
      </c>
      <c r="L441" s="2"/>
      <c r="M441" s="2" t="s">
        <v>354</v>
      </c>
      <c r="N441" s="2">
        <v>21122</v>
      </c>
      <c r="P441" s="2" t="s">
        <v>365</v>
      </c>
      <c r="Q441" s="2" t="s">
        <v>366</v>
      </c>
    </row>
    <row r="442" spans="1:17" x14ac:dyDescent="0.2">
      <c r="A442" s="2" t="s">
        <v>346</v>
      </c>
      <c r="B442" s="2" t="s">
        <v>347</v>
      </c>
      <c r="D442" s="2" t="s">
        <v>348</v>
      </c>
      <c r="E442" s="2" t="s">
        <v>349</v>
      </c>
      <c r="F442" s="3">
        <v>46087.415714062503</v>
      </c>
      <c r="G442" s="2" t="s">
        <v>362</v>
      </c>
      <c r="H442" s="2" t="s">
        <v>363</v>
      </c>
      <c r="I442" s="2" t="s">
        <v>364</v>
      </c>
      <c r="J442" s="3" t="s">
        <v>95</v>
      </c>
      <c r="K442" s="2" t="s">
        <v>353</v>
      </c>
      <c r="L442" s="2"/>
      <c r="M442" s="2" t="s">
        <v>354</v>
      </c>
      <c r="N442" s="2">
        <v>-22491</v>
      </c>
      <c r="P442" s="2" t="s">
        <v>365</v>
      </c>
      <c r="Q442" s="2" t="s">
        <v>366</v>
      </c>
    </row>
    <row r="443" spans="1:17" x14ac:dyDescent="0.2">
      <c r="A443" s="2" t="s">
        <v>346</v>
      </c>
      <c r="B443" s="2" t="s">
        <v>347</v>
      </c>
      <c r="D443" s="2" t="s">
        <v>348</v>
      </c>
      <c r="E443" s="2" t="s">
        <v>349</v>
      </c>
      <c r="F443" s="3">
        <v>46087.415730972221</v>
      </c>
      <c r="G443" s="2" t="s">
        <v>350</v>
      </c>
      <c r="H443" s="2" t="s">
        <v>351</v>
      </c>
      <c r="I443" s="2" t="s">
        <v>352</v>
      </c>
      <c r="J443" s="3" t="s">
        <v>95</v>
      </c>
      <c r="K443" s="2" t="s">
        <v>353</v>
      </c>
      <c r="L443" s="2"/>
      <c r="M443" s="2" t="s">
        <v>354</v>
      </c>
      <c r="N443" s="2">
        <v>61.1</v>
      </c>
      <c r="P443" s="2" t="s">
        <v>355</v>
      </c>
      <c r="Q443" s="2" t="s">
        <v>356</v>
      </c>
    </row>
    <row r="444" spans="1:17" x14ac:dyDescent="0.2">
      <c r="A444" s="2" t="s">
        <v>346</v>
      </c>
      <c r="B444" s="2" t="s">
        <v>347</v>
      </c>
      <c r="D444" s="2" t="s">
        <v>348</v>
      </c>
      <c r="E444" s="2" t="s">
        <v>349</v>
      </c>
      <c r="F444" s="3">
        <v>46087.415911724536</v>
      </c>
      <c r="G444" s="2" t="s">
        <v>362</v>
      </c>
      <c r="H444" s="2" t="s">
        <v>363</v>
      </c>
      <c r="I444" s="2" t="s">
        <v>364</v>
      </c>
      <c r="J444" s="3" t="s">
        <v>95</v>
      </c>
      <c r="K444" s="2" t="s">
        <v>353</v>
      </c>
      <c r="L444" s="2"/>
      <c r="M444" s="2" t="s">
        <v>354</v>
      </c>
      <c r="N444" s="2">
        <v>10858</v>
      </c>
      <c r="P444" s="2" t="s">
        <v>365</v>
      </c>
      <c r="Q444" s="2" t="s">
        <v>366</v>
      </c>
    </row>
    <row r="445" spans="1:17" x14ac:dyDescent="0.2">
      <c r="A445" s="2" t="s">
        <v>346</v>
      </c>
      <c r="B445" s="2" t="s">
        <v>347</v>
      </c>
      <c r="D445" s="2" t="s">
        <v>348</v>
      </c>
      <c r="E445" s="2" t="s">
        <v>349</v>
      </c>
      <c r="F445" s="3">
        <v>46087.41595829861</v>
      </c>
      <c r="G445" s="2" t="s">
        <v>362</v>
      </c>
      <c r="H445" s="2" t="s">
        <v>363</v>
      </c>
      <c r="I445" s="2" t="s">
        <v>364</v>
      </c>
      <c r="J445" s="3" t="s">
        <v>95</v>
      </c>
      <c r="K445" s="2" t="s">
        <v>353</v>
      </c>
      <c r="L445" s="2"/>
      <c r="M445" s="2" t="s">
        <v>354</v>
      </c>
      <c r="N445" s="2">
        <v>-21510</v>
      </c>
      <c r="P445" s="2" t="s">
        <v>365</v>
      </c>
      <c r="Q445" s="2" t="s">
        <v>366</v>
      </c>
    </row>
    <row r="446" spans="1:17" x14ac:dyDescent="0.2">
      <c r="A446" s="2" t="s">
        <v>346</v>
      </c>
      <c r="B446" s="2" t="s">
        <v>347</v>
      </c>
      <c r="D446" s="2" t="s">
        <v>348</v>
      </c>
      <c r="E446" s="2" t="s">
        <v>349</v>
      </c>
      <c r="F446" s="3">
        <v>46087.415993287039</v>
      </c>
      <c r="G446" s="2" t="s">
        <v>362</v>
      </c>
      <c r="H446" s="2" t="s">
        <v>363</v>
      </c>
      <c r="I446" s="2" t="s">
        <v>364</v>
      </c>
      <c r="J446" s="3" t="s">
        <v>95</v>
      </c>
      <c r="K446" s="2" t="s">
        <v>353</v>
      </c>
      <c r="L446" s="2"/>
      <c r="M446" s="2" t="s">
        <v>354</v>
      </c>
      <c r="N446" s="2">
        <v>15886</v>
      </c>
      <c r="P446" s="2" t="s">
        <v>365</v>
      </c>
      <c r="Q446" s="2" t="s">
        <v>366</v>
      </c>
    </row>
    <row r="447" spans="1:17" x14ac:dyDescent="0.2">
      <c r="A447" s="2" t="s">
        <v>346</v>
      </c>
      <c r="B447" s="2" t="s">
        <v>347</v>
      </c>
      <c r="D447" s="2" t="s">
        <v>348</v>
      </c>
      <c r="E447" s="2" t="s">
        <v>349</v>
      </c>
      <c r="F447" s="3">
        <v>46087.417085682871</v>
      </c>
      <c r="G447" s="2" t="s">
        <v>362</v>
      </c>
      <c r="H447" s="2" t="s">
        <v>363</v>
      </c>
      <c r="I447" s="2" t="s">
        <v>364</v>
      </c>
      <c r="J447" s="3" t="s">
        <v>95</v>
      </c>
      <c r="K447" s="2" t="s">
        <v>353</v>
      </c>
      <c r="L447" s="2"/>
      <c r="M447" s="2" t="s">
        <v>354</v>
      </c>
      <c r="N447" s="2">
        <v>-6186</v>
      </c>
      <c r="P447" s="2" t="s">
        <v>365</v>
      </c>
      <c r="Q447" s="2" t="s">
        <v>366</v>
      </c>
    </row>
    <row r="448" spans="1:17" x14ac:dyDescent="0.2">
      <c r="A448" s="2" t="s">
        <v>346</v>
      </c>
      <c r="B448" s="2" t="s">
        <v>347</v>
      </c>
      <c r="D448" s="2" t="s">
        <v>348</v>
      </c>
      <c r="E448" s="2" t="s">
        <v>349</v>
      </c>
      <c r="F448" s="3">
        <v>46087.417108877315</v>
      </c>
      <c r="G448" s="2" t="s">
        <v>362</v>
      </c>
      <c r="H448" s="2" t="s">
        <v>363</v>
      </c>
      <c r="I448" s="2" t="s">
        <v>364</v>
      </c>
      <c r="J448" s="3" t="s">
        <v>95</v>
      </c>
      <c r="K448" s="2" t="s">
        <v>353</v>
      </c>
      <c r="L448" s="2"/>
      <c r="M448" s="2" t="s">
        <v>354</v>
      </c>
      <c r="N448" s="2">
        <v>32308</v>
      </c>
      <c r="P448" s="2" t="s">
        <v>365</v>
      </c>
      <c r="Q448" s="2" t="s">
        <v>366</v>
      </c>
    </row>
    <row r="449" spans="1:17" x14ac:dyDescent="0.2">
      <c r="A449" s="2" t="s">
        <v>346</v>
      </c>
      <c r="B449" s="2" t="s">
        <v>347</v>
      </c>
      <c r="D449" s="2" t="s">
        <v>348</v>
      </c>
      <c r="E449" s="2" t="s">
        <v>349</v>
      </c>
      <c r="F449" s="3">
        <v>46087.417294652776</v>
      </c>
      <c r="G449" s="2" t="s">
        <v>362</v>
      </c>
      <c r="H449" s="2" t="s">
        <v>363</v>
      </c>
      <c r="I449" s="2" t="s">
        <v>364</v>
      </c>
      <c r="J449" s="3" t="s">
        <v>95</v>
      </c>
      <c r="K449" s="2" t="s">
        <v>353</v>
      </c>
      <c r="L449" s="2"/>
      <c r="M449" s="2" t="s">
        <v>354</v>
      </c>
      <c r="N449" s="2">
        <v>-10725</v>
      </c>
      <c r="P449" s="2" t="s">
        <v>365</v>
      </c>
      <c r="Q449" s="2" t="s">
        <v>366</v>
      </c>
    </row>
    <row r="450" spans="1:17" x14ac:dyDescent="0.2">
      <c r="A450" s="2" t="s">
        <v>346</v>
      </c>
      <c r="B450" s="2" t="s">
        <v>347</v>
      </c>
      <c r="D450" s="2" t="s">
        <v>348</v>
      </c>
      <c r="E450" s="2" t="s">
        <v>349</v>
      </c>
      <c r="F450" s="3">
        <v>46087.417585312498</v>
      </c>
      <c r="G450" s="2" t="s">
        <v>362</v>
      </c>
      <c r="H450" s="2" t="s">
        <v>363</v>
      </c>
      <c r="I450" s="2" t="s">
        <v>364</v>
      </c>
      <c r="J450" s="3" t="s">
        <v>95</v>
      </c>
      <c r="K450" s="2" t="s">
        <v>353</v>
      </c>
      <c r="L450" s="2"/>
      <c r="M450" s="2" t="s">
        <v>354</v>
      </c>
      <c r="N450" s="2">
        <v>16152</v>
      </c>
      <c r="P450" s="2" t="s">
        <v>365</v>
      </c>
      <c r="Q450" s="2" t="s">
        <v>366</v>
      </c>
    </row>
    <row r="451" spans="1:17" x14ac:dyDescent="0.2">
      <c r="A451" s="2" t="s">
        <v>346</v>
      </c>
      <c r="B451" s="2" t="s">
        <v>347</v>
      </c>
      <c r="D451" s="2" t="s">
        <v>348</v>
      </c>
      <c r="E451" s="2" t="s">
        <v>349</v>
      </c>
      <c r="F451" s="3">
        <v>46087.417597025466</v>
      </c>
      <c r="G451" s="2" t="s">
        <v>362</v>
      </c>
      <c r="H451" s="2" t="s">
        <v>363</v>
      </c>
      <c r="I451" s="2" t="s">
        <v>364</v>
      </c>
      <c r="J451" s="3" t="s">
        <v>95</v>
      </c>
      <c r="K451" s="2" t="s">
        <v>353</v>
      </c>
      <c r="L451" s="2"/>
      <c r="M451" s="2" t="s">
        <v>354</v>
      </c>
      <c r="N451" s="2">
        <v>-10457</v>
      </c>
      <c r="P451" s="2" t="s">
        <v>365</v>
      </c>
      <c r="Q451" s="2" t="s">
        <v>366</v>
      </c>
    </row>
    <row r="452" spans="1:17" x14ac:dyDescent="0.2">
      <c r="A452" s="2" t="s">
        <v>346</v>
      </c>
      <c r="B452" s="2" t="s">
        <v>347</v>
      </c>
      <c r="D452" s="2" t="s">
        <v>348</v>
      </c>
      <c r="E452" s="2" t="s">
        <v>349</v>
      </c>
      <c r="F452" s="3">
        <v>46087.41787597222</v>
      </c>
      <c r="G452" s="2" t="s">
        <v>362</v>
      </c>
      <c r="H452" s="2" t="s">
        <v>363</v>
      </c>
      <c r="I452" s="2" t="s">
        <v>364</v>
      </c>
      <c r="J452" s="3" t="s">
        <v>95</v>
      </c>
      <c r="K452" s="2" t="s">
        <v>353</v>
      </c>
      <c r="L452" s="2"/>
      <c r="M452" s="2" t="s">
        <v>354</v>
      </c>
      <c r="N452" s="2">
        <v>-10949</v>
      </c>
      <c r="P452" s="2" t="s">
        <v>365</v>
      </c>
      <c r="Q452" s="2" t="s">
        <v>366</v>
      </c>
    </row>
    <row r="453" spans="1:17" x14ac:dyDescent="0.2">
      <c r="A453" s="2" t="s">
        <v>346</v>
      </c>
      <c r="B453" s="2" t="s">
        <v>347</v>
      </c>
      <c r="D453" s="2" t="s">
        <v>348</v>
      </c>
      <c r="E453" s="2" t="s">
        <v>349</v>
      </c>
      <c r="F453" s="3">
        <v>46087.418038784723</v>
      </c>
      <c r="G453" s="2" t="s">
        <v>362</v>
      </c>
      <c r="H453" s="2" t="s">
        <v>363</v>
      </c>
      <c r="I453" s="2" t="s">
        <v>364</v>
      </c>
      <c r="J453" s="3" t="s">
        <v>95</v>
      </c>
      <c r="K453" s="2" t="s">
        <v>353</v>
      </c>
      <c r="L453" s="2"/>
      <c r="M453" s="2" t="s">
        <v>354</v>
      </c>
      <c r="N453" s="2">
        <v>43761</v>
      </c>
      <c r="P453" s="2" t="s">
        <v>365</v>
      </c>
      <c r="Q453" s="2" t="s">
        <v>366</v>
      </c>
    </row>
    <row r="454" spans="1:17" x14ac:dyDescent="0.2">
      <c r="A454" s="2" t="s">
        <v>346</v>
      </c>
      <c r="B454" s="2" t="s">
        <v>347</v>
      </c>
      <c r="D454" s="2" t="s">
        <v>348</v>
      </c>
      <c r="E454" s="2" t="s">
        <v>349</v>
      </c>
      <c r="F454" s="3">
        <v>46087.418119895832</v>
      </c>
      <c r="G454" s="2" t="s">
        <v>362</v>
      </c>
      <c r="H454" s="2" t="s">
        <v>363</v>
      </c>
      <c r="I454" s="2" t="s">
        <v>364</v>
      </c>
      <c r="J454" s="3" t="s">
        <v>95</v>
      </c>
      <c r="K454" s="2" t="s">
        <v>353</v>
      </c>
      <c r="L454" s="2"/>
      <c r="M454" s="2" t="s">
        <v>354</v>
      </c>
      <c r="N454" s="2">
        <v>-12848</v>
      </c>
      <c r="P454" s="2" t="s">
        <v>365</v>
      </c>
      <c r="Q454" s="2" t="s">
        <v>366</v>
      </c>
    </row>
    <row r="455" spans="1:17" x14ac:dyDescent="0.2">
      <c r="A455" s="2" t="s">
        <v>346</v>
      </c>
      <c r="B455" s="2" t="s">
        <v>347</v>
      </c>
      <c r="D455" s="2" t="s">
        <v>348</v>
      </c>
      <c r="E455" s="2" t="s">
        <v>349</v>
      </c>
      <c r="F455" s="3">
        <v>46087.418491759257</v>
      </c>
      <c r="G455" s="2" t="s">
        <v>362</v>
      </c>
      <c r="H455" s="2" t="s">
        <v>363</v>
      </c>
      <c r="I455" s="2" t="s">
        <v>364</v>
      </c>
      <c r="J455" s="3" t="s">
        <v>95</v>
      </c>
      <c r="K455" s="2" t="s">
        <v>353</v>
      </c>
      <c r="L455" s="2"/>
      <c r="M455" s="2" t="s">
        <v>354</v>
      </c>
      <c r="N455" s="2">
        <v>16422</v>
      </c>
      <c r="P455" s="2" t="s">
        <v>365</v>
      </c>
      <c r="Q455" s="2" t="s">
        <v>366</v>
      </c>
    </row>
    <row r="456" spans="1:17" x14ac:dyDescent="0.2">
      <c r="A456" s="2" t="s">
        <v>346</v>
      </c>
      <c r="B456" s="2" t="s">
        <v>347</v>
      </c>
      <c r="D456" s="2" t="s">
        <v>348</v>
      </c>
      <c r="E456" s="2" t="s">
        <v>349</v>
      </c>
      <c r="F456" s="3">
        <v>46087.418515127312</v>
      </c>
      <c r="G456" s="2" t="s">
        <v>362</v>
      </c>
      <c r="H456" s="2" t="s">
        <v>363</v>
      </c>
      <c r="I456" s="2" t="s">
        <v>364</v>
      </c>
      <c r="J456" s="3" t="s">
        <v>95</v>
      </c>
      <c r="K456" s="2" t="s">
        <v>353</v>
      </c>
      <c r="L456" s="2"/>
      <c r="M456" s="2" t="s">
        <v>354</v>
      </c>
      <c r="N456" s="2">
        <v>-10858</v>
      </c>
      <c r="P456" s="2" t="s">
        <v>365</v>
      </c>
      <c r="Q456" s="2" t="s">
        <v>366</v>
      </c>
    </row>
    <row r="457" spans="1:17" x14ac:dyDescent="0.2">
      <c r="A457" s="2" t="s">
        <v>346</v>
      </c>
      <c r="B457" s="2" t="s">
        <v>347</v>
      </c>
      <c r="D457" s="2" t="s">
        <v>348</v>
      </c>
      <c r="E457" s="2" t="s">
        <v>349</v>
      </c>
      <c r="F457" s="3">
        <v>46087.418561423612</v>
      </c>
      <c r="G457" s="2" t="s">
        <v>362</v>
      </c>
      <c r="H457" s="2" t="s">
        <v>363</v>
      </c>
      <c r="I457" s="2" t="s">
        <v>364</v>
      </c>
      <c r="J457" s="3" t="s">
        <v>95</v>
      </c>
      <c r="K457" s="2" t="s">
        <v>353</v>
      </c>
      <c r="L457" s="2"/>
      <c r="M457" s="2" t="s">
        <v>354</v>
      </c>
      <c r="N457" s="2">
        <v>36565</v>
      </c>
      <c r="P457" s="2" t="s">
        <v>365</v>
      </c>
      <c r="Q457" s="2" t="s">
        <v>366</v>
      </c>
    </row>
    <row r="458" spans="1:17" x14ac:dyDescent="0.2">
      <c r="A458" s="2" t="s">
        <v>346</v>
      </c>
      <c r="B458" s="2" t="s">
        <v>347</v>
      </c>
      <c r="D458" s="2" t="s">
        <v>348</v>
      </c>
      <c r="E458" s="2" t="s">
        <v>349</v>
      </c>
      <c r="F458" s="3">
        <v>46087.418749317127</v>
      </c>
      <c r="G458" s="2" t="s">
        <v>350</v>
      </c>
      <c r="H458" s="2" t="s">
        <v>351</v>
      </c>
      <c r="I458" s="2" t="s">
        <v>352</v>
      </c>
      <c r="J458" s="3" t="s">
        <v>95</v>
      </c>
      <c r="K458" s="2" t="s">
        <v>353</v>
      </c>
      <c r="L458" s="2"/>
      <c r="M458" s="2" t="s">
        <v>354</v>
      </c>
      <c r="N458" s="2">
        <v>59.755000000000003</v>
      </c>
      <c r="P458" s="2" t="s">
        <v>355</v>
      </c>
      <c r="Q458" s="2" t="s">
        <v>356</v>
      </c>
    </row>
    <row r="459" spans="1:17" x14ac:dyDescent="0.2">
      <c r="A459" s="2" t="s">
        <v>346</v>
      </c>
      <c r="B459" s="2" t="s">
        <v>347</v>
      </c>
      <c r="D459" s="2" t="s">
        <v>348</v>
      </c>
      <c r="E459" s="2" t="s">
        <v>349</v>
      </c>
      <c r="F459" s="3">
        <v>46087.41878255787</v>
      </c>
      <c r="G459" s="2" t="s">
        <v>362</v>
      </c>
      <c r="H459" s="2" t="s">
        <v>363</v>
      </c>
      <c r="I459" s="2" t="s">
        <v>364</v>
      </c>
      <c r="J459" s="3" t="s">
        <v>95</v>
      </c>
      <c r="K459" s="2" t="s">
        <v>353</v>
      </c>
      <c r="L459" s="2"/>
      <c r="M459" s="2" t="s">
        <v>354</v>
      </c>
      <c r="N459" s="2">
        <v>-4260</v>
      </c>
      <c r="P459" s="2" t="s">
        <v>365</v>
      </c>
      <c r="Q459" s="2" t="s">
        <v>366</v>
      </c>
    </row>
    <row r="460" spans="1:17" x14ac:dyDescent="0.2">
      <c r="A460" s="2" t="s">
        <v>346</v>
      </c>
      <c r="B460" s="2" t="s">
        <v>347</v>
      </c>
      <c r="D460" s="2" t="s">
        <v>348</v>
      </c>
      <c r="E460" s="2" t="s">
        <v>349</v>
      </c>
      <c r="F460" s="3">
        <v>46087.419084837966</v>
      </c>
      <c r="G460" s="2" t="s">
        <v>362</v>
      </c>
      <c r="H460" s="2" t="s">
        <v>363</v>
      </c>
      <c r="I460" s="2" t="s">
        <v>364</v>
      </c>
      <c r="J460" s="3" t="s">
        <v>95</v>
      </c>
      <c r="K460" s="2" t="s">
        <v>353</v>
      </c>
      <c r="L460" s="2"/>
      <c r="M460" s="2" t="s">
        <v>354</v>
      </c>
      <c r="N460" s="2">
        <v>26224</v>
      </c>
      <c r="P460" s="2" t="s">
        <v>365</v>
      </c>
      <c r="Q460" s="2" t="s">
        <v>366</v>
      </c>
    </row>
    <row r="461" spans="1:17" x14ac:dyDescent="0.2">
      <c r="A461" s="2" t="s">
        <v>346</v>
      </c>
      <c r="B461" s="2" t="s">
        <v>347</v>
      </c>
      <c r="D461" s="2" t="s">
        <v>348</v>
      </c>
      <c r="E461" s="2" t="s">
        <v>349</v>
      </c>
      <c r="F461" s="3">
        <v>46087.419107986112</v>
      </c>
      <c r="G461" s="2" t="s">
        <v>362</v>
      </c>
      <c r="H461" s="2" t="s">
        <v>363</v>
      </c>
      <c r="I461" s="2" t="s">
        <v>364</v>
      </c>
      <c r="J461" s="3" t="s">
        <v>95</v>
      </c>
      <c r="K461" s="2" t="s">
        <v>353</v>
      </c>
      <c r="L461" s="2"/>
      <c r="M461" s="2" t="s">
        <v>354</v>
      </c>
      <c r="N461" s="2">
        <v>-6399</v>
      </c>
      <c r="P461" s="2" t="s">
        <v>365</v>
      </c>
      <c r="Q461" s="2" t="s">
        <v>366</v>
      </c>
    </row>
    <row r="462" spans="1:17" x14ac:dyDescent="0.2">
      <c r="A462" s="2" t="s">
        <v>346</v>
      </c>
      <c r="B462" s="2" t="s">
        <v>347</v>
      </c>
      <c r="D462" s="2" t="s">
        <v>348</v>
      </c>
      <c r="E462" s="2" t="s">
        <v>349</v>
      </c>
      <c r="F462" s="3">
        <v>46087.41914283565</v>
      </c>
      <c r="G462" s="2" t="s">
        <v>362</v>
      </c>
      <c r="H462" s="2" t="s">
        <v>363</v>
      </c>
      <c r="I462" s="2" t="s">
        <v>364</v>
      </c>
      <c r="J462" s="3" t="s">
        <v>95</v>
      </c>
      <c r="K462" s="2" t="s">
        <v>353</v>
      </c>
      <c r="L462" s="2"/>
      <c r="M462" s="2" t="s">
        <v>354</v>
      </c>
      <c r="N462" s="2">
        <v>36006</v>
      </c>
      <c r="P462" s="2" t="s">
        <v>365</v>
      </c>
      <c r="Q462" s="2" t="s">
        <v>366</v>
      </c>
    </row>
    <row r="463" spans="1:17" x14ac:dyDescent="0.2">
      <c r="A463" s="2" t="s">
        <v>346</v>
      </c>
      <c r="B463" s="2" t="s">
        <v>347</v>
      </c>
      <c r="D463" s="2" t="s">
        <v>348</v>
      </c>
      <c r="E463" s="2" t="s">
        <v>349</v>
      </c>
      <c r="F463" s="3">
        <v>46087.419247500002</v>
      </c>
      <c r="G463" s="2" t="s">
        <v>362</v>
      </c>
      <c r="H463" s="2" t="s">
        <v>363</v>
      </c>
      <c r="I463" s="2" t="s">
        <v>364</v>
      </c>
      <c r="J463" s="3" t="s">
        <v>95</v>
      </c>
      <c r="K463" s="2" t="s">
        <v>353</v>
      </c>
      <c r="L463" s="2"/>
      <c r="M463" s="2" t="s">
        <v>354</v>
      </c>
      <c r="N463" s="2">
        <v>32900</v>
      </c>
      <c r="P463" s="2" t="s">
        <v>365</v>
      </c>
      <c r="Q463" s="2" t="s">
        <v>366</v>
      </c>
    </row>
    <row r="464" spans="1:17" x14ac:dyDescent="0.2">
      <c r="A464" s="2" t="s">
        <v>346</v>
      </c>
      <c r="B464" s="2" t="s">
        <v>347</v>
      </c>
      <c r="D464" s="2" t="s">
        <v>348</v>
      </c>
      <c r="E464" s="2" t="s">
        <v>349</v>
      </c>
      <c r="F464" s="3">
        <v>46087.419294247688</v>
      </c>
      <c r="G464" s="2" t="s">
        <v>362</v>
      </c>
      <c r="H464" s="2" t="s">
        <v>363</v>
      </c>
      <c r="I464" s="2" t="s">
        <v>364</v>
      </c>
      <c r="J464" s="3" t="s">
        <v>95</v>
      </c>
      <c r="K464" s="2" t="s">
        <v>353</v>
      </c>
      <c r="L464" s="2"/>
      <c r="M464" s="2" t="s">
        <v>354</v>
      </c>
      <c r="N464" s="2">
        <v>-16530</v>
      </c>
      <c r="P464" s="2" t="s">
        <v>365</v>
      </c>
      <c r="Q464" s="2" t="s">
        <v>366</v>
      </c>
    </row>
    <row r="465" spans="1:17" x14ac:dyDescent="0.2">
      <c r="A465" s="2" t="s">
        <v>346</v>
      </c>
      <c r="B465" s="2" t="s">
        <v>347</v>
      </c>
      <c r="D465" s="2" t="s">
        <v>348</v>
      </c>
      <c r="E465" s="2" t="s">
        <v>349</v>
      </c>
      <c r="F465" s="3">
        <v>46087.419352256948</v>
      </c>
      <c r="G465" s="2" t="s">
        <v>362</v>
      </c>
      <c r="H465" s="2" t="s">
        <v>363</v>
      </c>
      <c r="I465" s="2" t="s">
        <v>364</v>
      </c>
      <c r="J465" s="3" t="s">
        <v>95</v>
      </c>
      <c r="K465" s="2" t="s">
        <v>353</v>
      </c>
      <c r="L465" s="2"/>
      <c r="M465" s="2" t="s">
        <v>354</v>
      </c>
      <c r="N465" s="2">
        <v>30487</v>
      </c>
      <c r="P465" s="2" t="s">
        <v>365</v>
      </c>
      <c r="Q465" s="2" t="s">
        <v>366</v>
      </c>
    </row>
    <row r="466" spans="1:17" x14ac:dyDescent="0.2">
      <c r="A466" s="2" t="s">
        <v>346</v>
      </c>
      <c r="B466" s="2" t="s">
        <v>347</v>
      </c>
      <c r="D466" s="2" t="s">
        <v>348</v>
      </c>
      <c r="E466" s="2" t="s">
        <v>349</v>
      </c>
      <c r="F466" s="3">
        <v>46087.419387071757</v>
      </c>
      <c r="G466" s="2" t="s">
        <v>362</v>
      </c>
      <c r="H466" s="2" t="s">
        <v>363</v>
      </c>
      <c r="I466" s="2" t="s">
        <v>364</v>
      </c>
      <c r="J466" s="3" t="s">
        <v>95</v>
      </c>
      <c r="K466" s="2" t="s">
        <v>353</v>
      </c>
      <c r="L466" s="2"/>
      <c r="M466" s="2" t="s">
        <v>354</v>
      </c>
      <c r="N466" s="2">
        <v>-42303</v>
      </c>
      <c r="P466" s="2" t="s">
        <v>365</v>
      </c>
      <c r="Q466" s="2" t="s">
        <v>366</v>
      </c>
    </row>
    <row r="467" spans="1:17" x14ac:dyDescent="0.2">
      <c r="A467" s="2" t="s">
        <v>346</v>
      </c>
      <c r="B467" s="2" t="s">
        <v>347</v>
      </c>
      <c r="D467" s="2" t="s">
        <v>348</v>
      </c>
      <c r="E467" s="2" t="s">
        <v>349</v>
      </c>
      <c r="F467" s="3">
        <v>46087.419491423614</v>
      </c>
      <c r="G467" s="2" t="s">
        <v>362</v>
      </c>
      <c r="H467" s="2" t="s">
        <v>363</v>
      </c>
      <c r="I467" s="2" t="s">
        <v>364</v>
      </c>
      <c r="J467" s="3" t="s">
        <v>95</v>
      </c>
      <c r="K467" s="2" t="s">
        <v>353</v>
      </c>
      <c r="L467" s="2"/>
      <c r="M467" s="2" t="s">
        <v>354</v>
      </c>
      <c r="N467" s="2">
        <v>30667</v>
      </c>
      <c r="P467" s="2" t="s">
        <v>365</v>
      </c>
      <c r="Q467" s="2" t="s">
        <v>366</v>
      </c>
    </row>
    <row r="468" spans="1:17" x14ac:dyDescent="0.2">
      <c r="A468" s="2" t="s">
        <v>346</v>
      </c>
      <c r="B468" s="2" t="s">
        <v>347</v>
      </c>
      <c r="D468" s="2" t="s">
        <v>348</v>
      </c>
      <c r="E468" s="2" t="s">
        <v>349</v>
      </c>
      <c r="F468" s="3">
        <v>46087.419514791669</v>
      </c>
      <c r="G468" s="2" t="s">
        <v>362</v>
      </c>
      <c r="H468" s="2" t="s">
        <v>363</v>
      </c>
      <c r="I468" s="2" t="s">
        <v>364</v>
      </c>
      <c r="J468" s="3" t="s">
        <v>95</v>
      </c>
      <c r="K468" s="2" t="s">
        <v>353</v>
      </c>
      <c r="L468" s="2"/>
      <c r="M468" s="2" t="s">
        <v>354</v>
      </c>
      <c r="N468" s="2">
        <v>-3525</v>
      </c>
      <c r="P468" s="2" t="s">
        <v>365</v>
      </c>
      <c r="Q468" s="2" t="s">
        <v>366</v>
      </c>
    </row>
    <row r="469" spans="1:17" x14ac:dyDescent="0.2">
      <c r="A469" s="2" t="s">
        <v>346</v>
      </c>
      <c r="B469" s="2" t="s">
        <v>347</v>
      </c>
      <c r="D469" s="2" t="s">
        <v>348</v>
      </c>
      <c r="E469" s="2" t="s">
        <v>349</v>
      </c>
      <c r="F469" s="3">
        <v>46087.419759606484</v>
      </c>
      <c r="G469" s="2" t="s">
        <v>362</v>
      </c>
      <c r="H469" s="2" t="s">
        <v>363</v>
      </c>
      <c r="I469" s="2" t="s">
        <v>364</v>
      </c>
      <c r="J469" s="3" t="s">
        <v>95</v>
      </c>
      <c r="K469" s="2" t="s">
        <v>353</v>
      </c>
      <c r="L469" s="2"/>
      <c r="M469" s="2" t="s">
        <v>354</v>
      </c>
      <c r="N469" s="2">
        <v>27258</v>
      </c>
      <c r="P469" s="2" t="s">
        <v>365</v>
      </c>
      <c r="Q469" s="2" t="s">
        <v>366</v>
      </c>
    </row>
    <row r="470" spans="1:17" x14ac:dyDescent="0.2">
      <c r="A470" s="2" t="s">
        <v>346</v>
      </c>
      <c r="B470" s="2" t="s">
        <v>347</v>
      </c>
      <c r="D470" s="2" t="s">
        <v>348</v>
      </c>
      <c r="E470" s="2" t="s">
        <v>349</v>
      </c>
      <c r="F470" s="3">
        <v>46087.419782893521</v>
      </c>
      <c r="G470" s="2" t="s">
        <v>362</v>
      </c>
      <c r="H470" s="2" t="s">
        <v>363</v>
      </c>
      <c r="I470" s="2" t="s">
        <v>364</v>
      </c>
      <c r="J470" s="3" t="s">
        <v>95</v>
      </c>
      <c r="K470" s="2" t="s">
        <v>353</v>
      </c>
      <c r="L470" s="2"/>
      <c r="M470" s="2" t="s">
        <v>354</v>
      </c>
      <c r="N470" s="2">
        <v>-5841</v>
      </c>
      <c r="P470" s="2" t="s">
        <v>365</v>
      </c>
      <c r="Q470" s="2" t="s">
        <v>366</v>
      </c>
    </row>
    <row r="471" spans="1:17" x14ac:dyDescent="0.2">
      <c r="A471" s="2" t="s">
        <v>346</v>
      </c>
      <c r="B471" s="2" t="s">
        <v>347</v>
      </c>
      <c r="D471" s="2" t="s">
        <v>348</v>
      </c>
      <c r="E471" s="2" t="s">
        <v>349</v>
      </c>
      <c r="F471" s="3">
        <v>46087.420073553243</v>
      </c>
      <c r="G471" s="2" t="s">
        <v>362</v>
      </c>
      <c r="H471" s="2" t="s">
        <v>363</v>
      </c>
      <c r="I471" s="2" t="s">
        <v>364</v>
      </c>
      <c r="J471" s="3" t="s">
        <v>95</v>
      </c>
      <c r="K471" s="2" t="s">
        <v>353</v>
      </c>
      <c r="L471" s="2"/>
      <c r="M471" s="2" t="s">
        <v>354</v>
      </c>
      <c r="N471" s="2">
        <v>20738</v>
      </c>
      <c r="P471" s="2" t="s">
        <v>365</v>
      </c>
      <c r="Q471" s="2" t="s">
        <v>366</v>
      </c>
    </row>
    <row r="472" spans="1:17" x14ac:dyDescent="0.2">
      <c r="A472" s="2" t="s">
        <v>346</v>
      </c>
      <c r="B472" s="2" t="s">
        <v>347</v>
      </c>
      <c r="D472" s="2" t="s">
        <v>348</v>
      </c>
      <c r="E472" s="2" t="s">
        <v>349</v>
      </c>
      <c r="F472" s="3">
        <v>46087.420143229167</v>
      </c>
      <c r="G472" s="2" t="s">
        <v>362</v>
      </c>
      <c r="H472" s="2" t="s">
        <v>363</v>
      </c>
      <c r="I472" s="2" t="s">
        <v>364</v>
      </c>
      <c r="J472" s="3" t="s">
        <v>95</v>
      </c>
      <c r="K472" s="2" t="s">
        <v>353</v>
      </c>
      <c r="L472" s="2"/>
      <c r="M472" s="2" t="s">
        <v>354</v>
      </c>
      <c r="N472" s="2">
        <v>-9612</v>
      </c>
      <c r="P472" s="2" t="s">
        <v>365</v>
      </c>
      <c r="Q472" s="2" t="s">
        <v>366</v>
      </c>
    </row>
    <row r="473" spans="1:17" x14ac:dyDescent="0.2">
      <c r="A473" s="2" t="s">
        <v>346</v>
      </c>
      <c r="B473" s="2" t="s">
        <v>347</v>
      </c>
      <c r="D473" s="2" t="s">
        <v>348</v>
      </c>
      <c r="E473" s="2" t="s">
        <v>349</v>
      </c>
      <c r="F473" s="3">
        <v>46087.420549675924</v>
      </c>
      <c r="G473" s="2" t="s">
        <v>362</v>
      </c>
      <c r="H473" s="2" t="s">
        <v>363</v>
      </c>
      <c r="I473" s="2" t="s">
        <v>364</v>
      </c>
      <c r="J473" s="3" t="s">
        <v>95</v>
      </c>
      <c r="K473" s="2" t="s">
        <v>353</v>
      </c>
      <c r="L473" s="2"/>
      <c r="M473" s="2" t="s">
        <v>354</v>
      </c>
      <c r="N473" s="2">
        <v>5154</v>
      </c>
      <c r="P473" s="2" t="s">
        <v>365</v>
      </c>
      <c r="Q473" s="2" t="s">
        <v>366</v>
      </c>
    </row>
    <row r="474" spans="1:17" x14ac:dyDescent="0.2">
      <c r="A474" s="2" t="s">
        <v>346</v>
      </c>
      <c r="B474" s="2" t="s">
        <v>347</v>
      </c>
      <c r="D474" s="2" t="s">
        <v>348</v>
      </c>
      <c r="E474" s="2" t="s">
        <v>349</v>
      </c>
      <c r="F474" s="3">
        <v>46087.420642858793</v>
      </c>
      <c r="G474" s="2" t="s">
        <v>362</v>
      </c>
      <c r="H474" s="2" t="s">
        <v>363</v>
      </c>
      <c r="I474" s="2" t="s">
        <v>364</v>
      </c>
      <c r="J474" s="3" t="s">
        <v>95</v>
      </c>
      <c r="K474" s="2" t="s">
        <v>353</v>
      </c>
      <c r="L474" s="2"/>
      <c r="M474" s="2" t="s">
        <v>354</v>
      </c>
      <c r="N474" s="2">
        <v>-34920</v>
      </c>
      <c r="P474" s="2" t="s">
        <v>365</v>
      </c>
      <c r="Q474" s="2" t="s">
        <v>366</v>
      </c>
    </row>
    <row r="475" spans="1:17" x14ac:dyDescent="0.2">
      <c r="A475" s="2" t="s">
        <v>346</v>
      </c>
      <c r="B475" s="2" t="s">
        <v>347</v>
      </c>
      <c r="D475" s="2" t="s">
        <v>348</v>
      </c>
      <c r="E475" s="2" t="s">
        <v>349</v>
      </c>
      <c r="F475" s="3">
        <v>46087.420724062496</v>
      </c>
      <c r="G475" s="2" t="s">
        <v>362</v>
      </c>
      <c r="H475" s="2" t="s">
        <v>363</v>
      </c>
      <c r="I475" s="2" t="s">
        <v>364</v>
      </c>
      <c r="J475" s="3" t="s">
        <v>95</v>
      </c>
      <c r="K475" s="2" t="s">
        <v>353</v>
      </c>
      <c r="L475" s="2"/>
      <c r="M475" s="2" t="s">
        <v>354</v>
      </c>
      <c r="N475" s="2">
        <v>42185</v>
      </c>
      <c r="P475" s="2" t="s">
        <v>365</v>
      </c>
      <c r="Q475" s="2" t="s">
        <v>366</v>
      </c>
    </row>
    <row r="476" spans="1:17" x14ac:dyDescent="0.2">
      <c r="A476" s="2" t="s">
        <v>346</v>
      </c>
      <c r="B476" s="2" t="s">
        <v>347</v>
      </c>
      <c r="D476" s="2" t="s">
        <v>348</v>
      </c>
      <c r="E476" s="2" t="s">
        <v>349</v>
      </c>
      <c r="F476" s="3">
        <v>46087.420834826386</v>
      </c>
      <c r="G476" s="2" t="s">
        <v>350</v>
      </c>
      <c r="H476" s="2" t="s">
        <v>351</v>
      </c>
      <c r="I476" s="2" t="s">
        <v>352</v>
      </c>
      <c r="J476" s="3" t="s">
        <v>95</v>
      </c>
      <c r="K476" s="2" t="s">
        <v>353</v>
      </c>
      <c r="L476" s="2"/>
      <c r="M476" s="2" t="s">
        <v>354</v>
      </c>
      <c r="N476" s="2">
        <v>58.535000000000004</v>
      </c>
      <c r="P476" s="2" t="s">
        <v>355</v>
      </c>
      <c r="Q476" s="2" t="s">
        <v>356</v>
      </c>
    </row>
    <row r="477" spans="1:17" x14ac:dyDescent="0.2">
      <c r="A477" s="2" t="s">
        <v>346</v>
      </c>
      <c r="B477" s="2" t="s">
        <v>347</v>
      </c>
      <c r="D477" s="2" t="s">
        <v>348</v>
      </c>
      <c r="E477" s="2" t="s">
        <v>349</v>
      </c>
      <c r="F477" s="3">
        <v>46087.420921851852</v>
      </c>
      <c r="G477" s="2" t="s">
        <v>362</v>
      </c>
      <c r="H477" s="2" t="s">
        <v>363</v>
      </c>
      <c r="I477" s="2" t="s">
        <v>364</v>
      </c>
      <c r="J477" s="3" t="s">
        <v>95</v>
      </c>
      <c r="K477" s="2" t="s">
        <v>353</v>
      </c>
      <c r="L477" s="2"/>
      <c r="M477" s="2" t="s">
        <v>354</v>
      </c>
      <c r="N477" s="2">
        <v>37746</v>
      </c>
      <c r="P477" s="2" t="s">
        <v>365</v>
      </c>
      <c r="Q477" s="2" t="s">
        <v>366</v>
      </c>
    </row>
    <row r="478" spans="1:17" x14ac:dyDescent="0.2">
      <c r="A478" s="2" t="s">
        <v>346</v>
      </c>
      <c r="B478" s="2" t="s">
        <v>347</v>
      </c>
      <c r="D478" s="2" t="s">
        <v>348</v>
      </c>
      <c r="E478" s="2" t="s">
        <v>349</v>
      </c>
      <c r="F478" s="3">
        <v>46087.420933611109</v>
      </c>
      <c r="G478" s="2" t="s">
        <v>362</v>
      </c>
      <c r="H478" s="2" t="s">
        <v>363</v>
      </c>
      <c r="I478" s="2" t="s">
        <v>364</v>
      </c>
      <c r="J478" s="3" t="s">
        <v>95</v>
      </c>
      <c r="K478" s="2" t="s">
        <v>353</v>
      </c>
      <c r="L478" s="2"/>
      <c r="M478" s="2" t="s">
        <v>354</v>
      </c>
      <c r="N478" s="2">
        <v>-12407</v>
      </c>
      <c r="P478" s="2" t="s">
        <v>365</v>
      </c>
      <c r="Q478" s="2" t="s">
        <v>366</v>
      </c>
    </row>
    <row r="479" spans="1:17" x14ac:dyDescent="0.2">
      <c r="A479" s="2" t="s">
        <v>346</v>
      </c>
      <c r="B479" s="2" t="s">
        <v>347</v>
      </c>
      <c r="D479" s="2" t="s">
        <v>348</v>
      </c>
      <c r="E479" s="2" t="s">
        <v>349</v>
      </c>
      <c r="F479" s="3">
        <v>46087.420968379629</v>
      </c>
      <c r="G479" s="2" t="s">
        <v>362</v>
      </c>
      <c r="H479" s="2" t="s">
        <v>363</v>
      </c>
      <c r="I479" s="2" t="s">
        <v>364</v>
      </c>
      <c r="J479" s="3" t="s">
        <v>95</v>
      </c>
      <c r="K479" s="2" t="s">
        <v>353</v>
      </c>
      <c r="L479" s="2"/>
      <c r="M479" s="2" t="s">
        <v>354</v>
      </c>
      <c r="N479" s="2">
        <v>22592</v>
      </c>
      <c r="P479" s="2" t="s">
        <v>365</v>
      </c>
      <c r="Q479" s="2" t="s">
        <v>366</v>
      </c>
    </row>
    <row r="480" spans="1:17" x14ac:dyDescent="0.2">
      <c r="A480" s="2" t="s">
        <v>346</v>
      </c>
      <c r="B480" s="2" t="s">
        <v>347</v>
      </c>
      <c r="D480" s="2" t="s">
        <v>348</v>
      </c>
      <c r="E480" s="2" t="s">
        <v>349</v>
      </c>
      <c r="F480" s="3">
        <v>46087.421049849538</v>
      </c>
      <c r="G480" s="2" t="s">
        <v>362</v>
      </c>
      <c r="H480" s="2" t="s">
        <v>363</v>
      </c>
      <c r="I480" s="2" t="s">
        <v>364</v>
      </c>
      <c r="J480" s="3" t="s">
        <v>95</v>
      </c>
      <c r="K480" s="2" t="s">
        <v>353</v>
      </c>
      <c r="L480" s="2"/>
      <c r="M480" s="2" t="s">
        <v>354</v>
      </c>
      <c r="N480" s="2">
        <v>-12282</v>
      </c>
      <c r="P480" s="2" t="s">
        <v>365</v>
      </c>
      <c r="Q480" s="2" t="s">
        <v>366</v>
      </c>
    </row>
    <row r="481" spans="1:17" x14ac:dyDescent="0.2">
      <c r="A481" s="2" t="s">
        <v>346</v>
      </c>
      <c r="B481" s="2" t="s">
        <v>347</v>
      </c>
      <c r="D481" s="2" t="s">
        <v>348</v>
      </c>
      <c r="E481" s="2" t="s">
        <v>349</v>
      </c>
      <c r="F481" s="3">
        <v>46087.421399108796</v>
      </c>
      <c r="G481" s="2" t="s">
        <v>362</v>
      </c>
      <c r="H481" s="2" t="s">
        <v>363</v>
      </c>
      <c r="I481" s="2" t="s">
        <v>364</v>
      </c>
      <c r="J481" s="3" t="s">
        <v>95</v>
      </c>
      <c r="K481" s="2" t="s">
        <v>353</v>
      </c>
      <c r="L481" s="2"/>
      <c r="M481" s="2" t="s">
        <v>354</v>
      </c>
      <c r="N481" s="2">
        <v>31150</v>
      </c>
      <c r="P481" s="2" t="s">
        <v>365</v>
      </c>
      <c r="Q481" s="2" t="s">
        <v>366</v>
      </c>
    </row>
    <row r="482" spans="1:17" x14ac:dyDescent="0.2">
      <c r="A482" s="2" t="s">
        <v>346</v>
      </c>
      <c r="B482" s="2" t="s">
        <v>347</v>
      </c>
      <c r="D482" s="2" t="s">
        <v>348</v>
      </c>
      <c r="E482" s="2" t="s">
        <v>349</v>
      </c>
      <c r="F482" s="3">
        <v>46087.42141077546</v>
      </c>
      <c r="G482" s="2" t="s">
        <v>362</v>
      </c>
      <c r="H482" s="2" t="s">
        <v>363</v>
      </c>
      <c r="I482" s="2" t="s">
        <v>364</v>
      </c>
      <c r="J482" s="3" t="s">
        <v>95</v>
      </c>
      <c r="K482" s="2" t="s">
        <v>353</v>
      </c>
      <c r="L482" s="2"/>
      <c r="M482" s="2" t="s">
        <v>354</v>
      </c>
      <c r="N482" s="2">
        <v>-13455</v>
      </c>
      <c r="P482" s="2" t="s">
        <v>365</v>
      </c>
      <c r="Q482" s="2" t="s">
        <v>366</v>
      </c>
    </row>
    <row r="483" spans="1:17" x14ac:dyDescent="0.2">
      <c r="A483" s="2" t="s">
        <v>346</v>
      </c>
      <c r="B483" s="2" t="s">
        <v>347</v>
      </c>
      <c r="D483" s="2" t="s">
        <v>348</v>
      </c>
      <c r="E483" s="2" t="s">
        <v>349</v>
      </c>
      <c r="F483" s="3">
        <v>46087.421713414355</v>
      </c>
      <c r="G483" s="2" t="s">
        <v>362</v>
      </c>
      <c r="H483" s="2" t="s">
        <v>363</v>
      </c>
      <c r="I483" s="2" t="s">
        <v>364</v>
      </c>
      <c r="J483" s="3" t="s">
        <v>95</v>
      </c>
      <c r="K483" s="2" t="s">
        <v>353</v>
      </c>
      <c r="L483" s="2"/>
      <c r="M483" s="2" t="s">
        <v>354</v>
      </c>
      <c r="N483" s="2">
        <v>-5841</v>
      </c>
      <c r="P483" s="2" t="s">
        <v>365</v>
      </c>
      <c r="Q483" s="2" t="s">
        <v>366</v>
      </c>
    </row>
    <row r="484" spans="1:17" x14ac:dyDescent="0.2">
      <c r="A484" s="2" t="s">
        <v>346</v>
      </c>
      <c r="B484" s="2" t="s">
        <v>347</v>
      </c>
      <c r="D484" s="2" t="s">
        <v>348</v>
      </c>
      <c r="E484" s="2" t="s">
        <v>349</v>
      </c>
      <c r="F484" s="3">
        <v>46087.421771597219</v>
      </c>
      <c r="G484" s="2" t="s">
        <v>362</v>
      </c>
      <c r="H484" s="2" t="s">
        <v>363</v>
      </c>
      <c r="I484" s="2" t="s">
        <v>364</v>
      </c>
      <c r="J484" s="3" t="s">
        <v>95</v>
      </c>
      <c r="K484" s="2" t="s">
        <v>353</v>
      </c>
      <c r="L484" s="2"/>
      <c r="M484" s="2" t="s">
        <v>354</v>
      </c>
      <c r="N484" s="2">
        <v>48300</v>
      </c>
      <c r="P484" s="2" t="s">
        <v>365</v>
      </c>
      <c r="Q484" s="2" t="s">
        <v>366</v>
      </c>
    </row>
    <row r="485" spans="1:17" x14ac:dyDescent="0.2">
      <c r="A485" s="2" t="s">
        <v>346</v>
      </c>
      <c r="B485" s="2" t="s">
        <v>347</v>
      </c>
      <c r="D485" s="2" t="s">
        <v>348</v>
      </c>
      <c r="E485" s="2" t="s">
        <v>349</v>
      </c>
      <c r="F485" s="3">
        <v>46087.421806736114</v>
      </c>
      <c r="G485" s="2" t="s">
        <v>362</v>
      </c>
      <c r="H485" s="2" t="s">
        <v>363</v>
      </c>
      <c r="I485" s="2" t="s">
        <v>364</v>
      </c>
      <c r="J485" s="3" t="s">
        <v>95</v>
      </c>
      <c r="K485" s="2" t="s">
        <v>353</v>
      </c>
      <c r="L485" s="2"/>
      <c r="M485" s="2" t="s">
        <v>354</v>
      </c>
      <c r="N485" s="2">
        <v>35947</v>
      </c>
      <c r="P485" s="2" t="s">
        <v>365</v>
      </c>
      <c r="Q485" s="2" t="s">
        <v>366</v>
      </c>
    </row>
    <row r="486" spans="1:17" x14ac:dyDescent="0.2">
      <c r="A486" s="2" t="s">
        <v>346</v>
      </c>
      <c r="B486" s="2" t="s">
        <v>347</v>
      </c>
      <c r="D486" s="2" t="s">
        <v>348</v>
      </c>
      <c r="E486" s="2" t="s">
        <v>349</v>
      </c>
      <c r="F486" s="3">
        <v>46087.421818171293</v>
      </c>
      <c r="G486" s="2" t="s">
        <v>362</v>
      </c>
      <c r="H486" s="2" t="s">
        <v>363</v>
      </c>
      <c r="I486" s="2" t="s">
        <v>364</v>
      </c>
      <c r="J486" s="3" t="s">
        <v>95</v>
      </c>
      <c r="K486" s="2" t="s">
        <v>353</v>
      </c>
      <c r="L486" s="2"/>
      <c r="M486" s="2" t="s">
        <v>354</v>
      </c>
      <c r="N486" s="2">
        <v>-10310</v>
      </c>
      <c r="P486" s="2" t="s">
        <v>365</v>
      </c>
      <c r="Q486" s="2" t="s">
        <v>366</v>
      </c>
    </row>
    <row r="487" spans="1:17" x14ac:dyDescent="0.2">
      <c r="A487" s="2" t="s">
        <v>346</v>
      </c>
      <c r="B487" s="2" t="s">
        <v>347</v>
      </c>
      <c r="D487" s="2" t="s">
        <v>348</v>
      </c>
      <c r="E487" s="2" t="s">
        <v>349</v>
      </c>
      <c r="F487" s="3">
        <v>46087.421969583331</v>
      </c>
      <c r="G487" s="2" t="s">
        <v>362</v>
      </c>
      <c r="H487" s="2" t="s">
        <v>363</v>
      </c>
      <c r="I487" s="2" t="s">
        <v>364</v>
      </c>
      <c r="J487" s="3" t="s">
        <v>95</v>
      </c>
      <c r="K487" s="2" t="s">
        <v>353</v>
      </c>
      <c r="L487" s="2"/>
      <c r="M487" s="2" t="s">
        <v>354</v>
      </c>
      <c r="N487" s="2">
        <v>-13209</v>
      </c>
      <c r="P487" s="2" t="s">
        <v>365</v>
      </c>
      <c r="Q487" s="2" t="s">
        <v>366</v>
      </c>
    </row>
    <row r="488" spans="1:17" x14ac:dyDescent="0.2">
      <c r="A488" s="2" t="s">
        <v>346</v>
      </c>
      <c r="B488" s="2" t="s">
        <v>347</v>
      </c>
      <c r="D488" s="2" t="s">
        <v>348</v>
      </c>
      <c r="E488" s="2" t="s">
        <v>349</v>
      </c>
      <c r="F488" s="3">
        <v>46087.42209753472</v>
      </c>
      <c r="G488" s="2" t="s">
        <v>362</v>
      </c>
      <c r="H488" s="2" t="s">
        <v>363</v>
      </c>
      <c r="I488" s="2" t="s">
        <v>364</v>
      </c>
      <c r="J488" s="3" t="s">
        <v>95</v>
      </c>
      <c r="K488" s="2" t="s">
        <v>353</v>
      </c>
      <c r="L488" s="2"/>
      <c r="M488" s="2" t="s">
        <v>354</v>
      </c>
      <c r="N488" s="2">
        <v>27378</v>
      </c>
      <c r="P488" s="2" t="s">
        <v>365</v>
      </c>
      <c r="Q488" s="2" t="s">
        <v>366</v>
      </c>
    </row>
    <row r="489" spans="1:17" x14ac:dyDescent="0.2">
      <c r="A489" s="2" t="s">
        <v>346</v>
      </c>
      <c r="B489" s="2" t="s">
        <v>347</v>
      </c>
      <c r="D489" s="2" t="s">
        <v>348</v>
      </c>
      <c r="E489" s="2" t="s">
        <v>349</v>
      </c>
      <c r="F489" s="3">
        <v>46087.422178865738</v>
      </c>
      <c r="G489" s="2" t="s">
        <v>362</v>
      </c>
      <c r="H489" s="2" t="s">
        <v>363</v>
      </c>
      <c r="I489" s="2" t="s">
        <v>364</v>
      </c>
      <c r="J489" s="3" t="s">
        <v>95</v>
      </c>
      <c r="K489" s="2" t="s">
        <v>353</v>
      </c>
      <c r="L489" s="2"/>
      <c r="M489" s="2" t="s">
        <v>354</v>
      </c>
      <c r="N489" s="2">
        <v>-12620</v>
      </c>
      <c r="P489" s="2" t="s">
        <v>365</v>
      </c>
      <c r="Q489" s="2" t="s">
        <v>366</v>
      </c>
    </row>
    <row r="490" spans="1:17" x14ac:dyDescent="0.2">
      <c r="A490" s="2" t="s">
        <v>346</v>
      </c>
      <c r="B490" s="2" t="s">
        <v>347</v>
      </c>
      <c r="D490" s="2" t="s">
        <v>348</v>
      </c>
      <c r="E490" s="2" t="s">
        <v>349</v>
      </c>
      <c r="F490" s="3">
        <v>46087.422423055556</v>
      </c>
      <c r="G490" s="2" t="s">
        <v>362</v>
      </c>
      <c r="H490" s="2" t="s">
        <v>363</v>
      </c>
      <c r="I490" s="2" t="s">
        <v>364</v>
      </c>
      <c r="J490" s="3" t="s">
        <v>95</v>
      </c>
      <c r="K490" s="2" t="s">
        <v>353</v>
      </c>
      <c r="L490" s="2"/>
      <c r="M490" s="2" t="s">
        <v>354</v>
      </c>
      <c r="N490" s="2">
        <v>18079</v>
      </c>
      <c r="P490" s="2" t="s">
        <v>365</v>
      </c>
      <c r="Q490" s="2" t="s">
        <v>366</v>
      </c>
    </row>
    <row r="491" spans="1:17" x14ac:dyDescent="0.2">
      <c r="A491" s="2" t="s">
        <v>346</v>
      </c>
      <c r="B491" s="2" t="s">
        <v>347</v>
      </c>
      <c r="D491" s="2" t="s">
        <v>348</v>
      </c>
      <c r="E491" s="2" t="s">
        <v>349</v>
      </c>
      <c r="F491" s="3">
        <v>46087.422458726855</v>
      </c>
      <c r="G491" s="2" t="s">
        <v>350</v>
      </c>
      <c r="H491" s="2" t="s">
        <v>351</v>
      </c>
      <c r="I491" s="2" t="s">
        <v>352</v>
      </c>
      <c r="J491" s="3" t="s">
        <v>95</v>
      </c>
      <c r="K491" s="2" t="s">
        <v>353</v>
      </c>
      <c r="L491" s="2"/>
      <c r="M491" s="2" t="s">
        <v>354</v>
      </c>
      <c r="N491" s="2">
        <v>57.44</v>
      </c>
      <c r="P491" s="2" t="s">
        <v>355</v>
      </c>
      <c r="Q491" s="2" t="s">
        <v>356</v>
      </c>
    </row>
    <row r="492" spans="1:17" x14ac:dyDescent="0.2">
      <c r="A492" s="2" t="s">
        <v>346</v>
      </c>
      <c r="B492" s="2" t="s">
        <v>347</v>
      </c>
      <c r="D492" s="2" t="s">
        <v>348</v>
      </c>
      <c r="E492" s="2" t="s">
        <v>349</v>
      </c>
      <c r="F492" s="3">
        <v>46087.422620578705</v>
      </c>
      <c r="G492" s="2" t="s">
        <v>362</v>
      </c>
      <c r="H492" s="2" t="s">
        <v>363</v>
      </c>
      <c r="I492" s="2" t="s">
        <v>364</v>
      </c>
      <c r="J492" s="3" t="s">
        <v>95</v>
      </c>
      <c r="K492" s="2" t="s">
        <v>353</v>
      </c>
      <c r="L492" s="2"/>
      <c r="M492" s="2" t="s">
        <v>354</v>
      </c>
      <c r="N492" s="2">
        <v>-12087</v>
      </c>
      <c r="P492" s="2" t="s">
        <v>365</v>
      </c>
      <c r="Q492" s="2" t="s">
        <v>366</v>
      </c>
    </row>
    <row r="493" spans="1:17" x14ac:dyDescent="0.2">
      <c r="A493" s="2" t="s">
        <v>346</v>
      </c>
      <c r="B493" s="2" t="s">
        <v>347</v>
      </c>
      <c r="D493" s="2" t="s">
        <v>348</v>
      </c>
      <c r="E493" s="2" t="s">
        <v>349</v>
      </c>
      <c r="F493" s="3">
        <v>46087.422690335647</v>
      </c>
      <c r="G493" s="2" t="s">
        <v>362</v>
      </c>
      <c r="H493" s="2" t="s">
        <v>363</v>
      </c>
      <c r="I493" s="2" t="s">
        <v>364</v>
      </c>
      <c r="J493" s="3" t="s">
        <v>95</v>
      </c>
      <c r="K493" s="2" t="s">
        <v>353</v>
      </c>
      <c r="L493" s="2"/>
      <c r="M493" s="2" t="s">
        <v>354</v>
      </c>
      <c r="N493" s="2">
        <v>33759</v>
      </c>
      <c r="P493" s="2" t="s">
        <v>365</v>
      </c>
      <c r="Q493" s="2" t="s">
        <v>366</v>
      </c>
    </row>
    <row r="494" spans="1:17" x14ac:dyDescent="0.2">
      <c r="A494" s="2" t="s">
        <v>346</v>
      </c>
      <c r="B494" s="2" t="s">
        <v>347</v>
      </c>
      <c r="D494" s="2" t="s">
        <v>348</v>
      </c>
      <c r="E494" s="2" t="s">
        <v>349</v>
      </c>
      <c r="F494" s="3">
        <v>46087.423038831017</v>
      </c>
      <c r="G494" s="2" t="s">
        <v>362</v>
      </c>
      <c r="H494" s="2" t="s">
        <v>363</v>
      </c>
      <c r="I494" s="2" t="s">
        <v>364</v>
      </c>
      <c r="J494" s="3" t="s">
        <v>95</v>
      </c>
      <c r="K494" s="2" t="s">
        <v>353</v>
      </c>
      <c r="L494" s="2"/>
      <c r="M494" s="2" t="s">
        <v>354</v>
      </c>
      <c r="N494" s="2">
        <v>27222</v>
      </c>
      <c r="P494" s="2" t="s">
        <v>365</v>
      </c>
      <c r="Q494" s="2" t="s">
        <v>366</v>
      </c>
    </row>
    <row r="495" spans="1:17" x14ac:dyDescent="0.2">
      <c r="A495" s="2" t="s">
        <v>346</v>
      </c>
      <c r="B495" s="2" t="s">
        <v>347</v>
      </c>
      <c r="D495" s="2" t="s">
        <v>348</v>
      </c>
      <c r="E495" s="2" t="s">
        <v>349</v>
      </c>
      <c r="F495" s="3">
        <v>46087.423062152775</v>
      </c>
      <c r="G495" s="2" t="s">
        <v>362</v>
      </c>
      <c r="H495" s="2" t="s">
        <v>363</v>
      </c>
      <c r="I495" s="2" t="s">
        <v>364</v>
      </c>
      <c r="J495" s="3" t="s">
        <v>95</v>
      </c>
      <c r="K495" s="2" t="s">
        <v>353</v>
      </c>
      <c r="L495" s="2"/>
      <c r="M495" s="2" t="s">
        <v>354</v>
      </c>
      <c r="N495" s="2">
        <v>-9165</v>
      </c>
      <c r="P495" s="2" t="s">
        <v>365</v>
      </c>
      <c r="Q495" s="2" t="s">
        <v>366</v>
      </c>
    </row>
    <row r="496" spans="1:17" x14ac:dyDescent="0.2">
      <c r="A496" s="2" t="s">
        <v>346</v>
      </c>
      <c r="B496" s="2" t="s">
        <v>347</v>
      </c>
      <c r="D496" s="2" t="s">
        <v>348</v>
      </c>
      <c r="E496" s="2" t="s">
        <v>349</v>
      </c>
      <c r="F496" s="3">
        <v>46087.423131875003</v>
      </c>
      <c r="G496" s="2" t="s">
        <v>362</v>
      </c>
      <c r="H496" s="2" t="s">
        <v>363</v>
      </c>
      <c r="I496" s="2" t="s">
        <v>364</v>
      </c>
      <c r="J496" s="3" t="s">
        <v>95</v>
      </c>
      <c r="K496" s="2" t="s">
        <v>353</v>
      </c>
      <c r="L496" s="2"/>
      <c r="M496" s="2" t="s">
        <v>354</v>
      </c>
      <c r="N496" s="2">
        <v>10560</v>
      </c>
      <c r="P496" s="2" t="s">
        <v>365</v>
      </c>
      <c r="Q496" s="2" t="s">
        <v>366</v>
      </c>
    </row>
    <row r="497" spans="1:17" x14ac:dyDescent="0.2">
      <c r="A497" s="2" t="s">
        <v>346</v>
      </c>
      <c r="B497" s="2" t="s">
        <v>347</v>
      </c>
      <c r="D497" s="2" t="s">
        <v>348</v>
      </c>
      <c r="E497" s="2" t="s">
        <v>349</v>
      </c>
      <c r="F497" s="3">
        <v>46087.423294363427</v>
      </c>
      <c r="G497" s="2" t="s">
        <v>362</v>
      </c>
      <c r="H497" s="2" t="s">
        <v>363</v>
      </c>
      <c r="I497" s="2" t="s">
        <v>364</v>
      </c>
      <c r="J497" s="3" t="s">
        <v>95</v>
      </c>
      <c r="K497" s="2" t="s">
        <v>353</v>
      </c>
      <c r="L497" s="2"/>
      <c r="M497" s="2" t="s">
        <v>354</v>
      </c>
      <c r="N497" s="2">
        <v>-42186</v>
      </c>
      <c r="P497" s="2" t="s">
        <v>365</v>
      </c>
      <c r="Q497" s="2" t="s">
        <v>366</v>
      </c>
    </row>
    <row r="498" spans="1:17" x14ac:dyDescent="0.2">
      <c r="A498" s="2" t="s">
        <v>346</v>
      </c>
      <c r="B498" s="2" t="s">
        <v>347</v>
      </c>
      <c r="D498" s="2" t="s">
        <v>348</v>
      </c>
      <c r="E498" s="2" t="s">
        <v>349</v>
      </c>
      <c r="F498" s="3">
        <v>46087.423561469906</v>
      </c>
      <c r="G498" s="2" t="s">
        <v>362</v>
      </c>
      <c r="H498" s="2" t="s">
        <v>363</v>
      </c>
      <c r="I498" s="2" t="s">
        <v>364</v>
      </c>
      <c r="J498" s="3" t="s">
        <v>95</v>
      </c>
      <c r="K498" s="2" t="s">
        <v>353</v>
      </c>
      <c r="L498" s="2"/>
      <c r="M498" s="2" t="s">
        <v>354</v>
      </c>
      <c r="N498" s="2">
        <v>14514</v>
      </c>
      <c r="P498" s="2" t="s">
        <v>365</v>
      </c>
      <c r="Q498" s="2" t="s">
        <v>366</v>
      </c>
    </row>
    <row r="499" spans="1:17" x14ac:dyDescent="0.2">
      <c r="A499" s="2" t="s">
        <v>346</v>
      </c>
      <c r="B499" s="2" t="s">
        <v>347</v>
      </c>
      <c r="D499" s="2" t="s">
        <v>348</v>
      </c>
      <c r="E499" s="2" t="s">
        <v>349</v>
      </c>
      <c r="F499" s="3">
        <v>46087.423654699072</v>
      </c>
      <c r="G499" s="2" t="s">
        <v>362</v>
      </c>
      <c r="H499" s="2" t="s">
        <v>363</v>
      </c>
      <c r="I499" s="2" t="s">
        <v>364</v>
      </c>
      <c r="J499" s="3" t="s">
        <v>95</v>
      </c>
      <c r="K499" s="2" t="s">
        <v>353</v>
      </c>
      <c r="L499" s="2"/>
      <c r="M499" s="2" t="s">
        <v>354</v>
      </c>
      <c r="N499" s="2">
        <v>-29893</v>
      </c>
      <c r="P499" s="2" t="s">
        <v>365</v>
      </c>
      <c r="Q499" s="2" t="s">
        <v>366</v>
      </c>
    </row>
    <row r="500" spans="1:17" x14ac:dyDescent="0.2">
      <c r="A500" s="2" t="s">
        <v>346</v>
      </c>
      <c r="B500" s="2" t="s">
        <v>347</v>
      </c>
      <c r="D500" s="2" t="s">
        <v>348</v>
      </c>
      <c r="E500" s="2" t="s">
        <v>349</v>
      </c>
      <c r="F500" s="3">
        <v>46087.423980266205</v>
      </c>
      <c r="G500" s="2" t="s">
        <v>362</v>
      </c>
      <c r="H500" s="2" t="s">
        <v>363</v>
      </c>
      <c r="I500" s="2" t="s">
        <v>364</v>
      </c>
      <c r="J500" s="3" t="s">
        <v>95</v>
      </c>
      <c r="K500" s="2" t="s">
        <v>353</v>
      </c>
      <c r="L500" s="2"/>
      <c r="M500" s="2" t="s">
        <v>354</v>
      </c>
      <c r="N500" s="2">
        <v>-7298</v>
      </c>
      <c r="P500" s="2" t="s">
        <v>365</v>
      </c>
      <c r="Q500" s="2" t="s">
        <v>366</v>
      </c>
    </row>
    <row r="501" spans="1:17" x14ac:dyDescent="0.2">
      <c r="A501" s="2" t="s">
        <v>346</v>
      </c>
      <c r="B501" s="2" t="s">
        <v>347</v>
      </c>
      <c r="D501" s="2" t="s">
        <v>348</v>
      </c>
      <c r="E501" s="2" t="s">
        <v>349</v>
      </c>
      <c r="F501" s="3">
        <v>46087.424061597223</v>
      </c>
      <c r="G501" s="2" t="s">
        <v>362</v>
      </c>
      <c r="H501" s="2" t="s">
        <v>363</v>
      </c>
      <c r="I501" s="2" t="s">
        <v>364</v>
      </c>
      <c r="J501" s="3" t="s">
        <v>95</v>
      </c>
      <c r="K501" s="2" t="s">
        <v>353</v>
      </c>
      <c r="L501" s="2"/>
      <c r="M501" s="2" t="s">
        <v>354</v>
      </c>
      <c r="N501" s="2">
        <v>32214</v>
      </c>
      <c r="P501" s="2" t="s">
        <v>365</v>
      </c>
      <c r="Q501" s="2" t="s">
        <v>366</v>
      </c>
    </row>
    <row r="502" spans="1:17" x14ac:dyDescent="0.2">
      <c r="A502" s="2" t="s">
        <v>346</v>
      </c>
      <c r="B502" s="2" t="s">
        <v>347</v>
      </c>
      <c r="D502" s="2" t="s">
        <v>348</v>
      </c>
      <c r="E502" s="2" t="s">
        <v>349</v>
      </c>
      <c r="F502" s="3">
        <v>46087.424154502318</v>
      </c>
      <c r="G502" s="2" t="s">
        <v>362</v>
      </c>
      <c r="H502" s="2" t="s">
        <v>363</v>
      </c>
      <c r="I502" s="2" t="s">
        <v>364</v>
      </c>
      <c r="J502" s="3" t="s">
        <v>95</v>
      </c>
      <c r="K502" s="2" t="s">
        <v>353</v>
      </c>
      <c r="L502" s="2"/>
      <c r="M502" s="2" t="s">
        <v>354</v>
      </c>
      <c r="N502" s="2">
        <v>-6372</v>
      </c>
      <c r="P502" s="2" t="s">
        <v>365</v>
      </c>
      <c r="Q502" s="2" t="s">
        <v>366</v>
      </c>
    </row>
    <row r="503" spans="1:17" x14ac:dyDescent="0.2">
      <c r="A503" s="2" t="s">
        <v>346</v>
      </c>
      <c r="B503" s="2" t="s">
        <v>347</v>
      </c>
      <c r="D503" s="2" t="s">
        <v>348</v>
      </c>
      <c r="E503" s="2" t="s">
        <v>349</v>
      </c>
      <c r="F503" s="3">
        <v>46087.424619687503</v>
      </c>
      <c r="G503" s="2" t="s">
        <v>362</v>
      </c>
      <c r="H503" s="2" t="s">
        <v>363</v>
      </c>
      <c r="I503" s="2" t="s">
        <v>364</v>
      </c>
      <c r="J503" s="3" t="s">
        <v>95</v>
      </c>
      <c r="K503" s="2" t="s">
        <v>353</v>
      </c>
      <c r="L503" s="2"/>
      <c r="M503" s="2" t="s">
        <v>354</v>
      </c>
      <c r="N503" s="2">
        <v>23834</v>
      </c>
      <c r="P503" s="2" t="s">
        <v>365</v>
      </c>
      <c r="Q503" s="2" t="s">
        <v>366</v>
      </c>
    </row>
    <row r="504" spans="1:17" x14ac:dyDescent="0.2">
      <c r="A504" s="2" t="s">
        <v>346</v>
      </c>
      <c r="B504" s="2" t="s">
        <v>347</v>
      </c>
      <c r="D504" s="2" t="s">
        <v>348</v>
      </c>
      <c r="E504" s="2" t="s">
        <v>349</v>
      </c>
      <c r="F504" s="3">
        <v>46087.424654675924</v>
      </c>
      <c r="G504" s="2" t="s">
        <v>362</v>
      </c>
      <c r="H504" s="2" t="s">
        <v>363</v>
      </c>
      <c r="I504" s="2" t="s">
        <v>364</v>
      </c>
      <c r="J504" s="3" t="s">
        <v>95</v>
      </c>
      <c r="K504" s="2" t="s">
        <v>353</v>
      </c>
      <c r="L504" s="2"/>
      <c r="M504" s="2" t="s">
        <v>354</v>
      </c>
      <c r="N504" s="2">
        <v>-6327</v>
      </c>
      <c r="P504" s="2" t="s">
        <v>365</v>
      </c>
      <c r="Q504" s="2" t="s">
        <v>366</v>
      </c>
    </row>
    <row r="505" spans="1:17" x14ac:dyDescent="0.2">
      <c r="A505" s="2" t="s">
        <v>346</v>
      </c>
      <c r="B505" s="2" t="s">
        <v>347</v>
      </c>
      <c r="D505" s="2" t="s">
        <v>348</v>
      </c>
      <c r="E505" s="2" t="s">
        <v>349</v>
      </c>
      <c r="F505" s="3">
        <v>46087.425108009258</v>
      </c>
      <c r="G505" s="2" t="s">
        <v>362</v>
      </c>
      <c r="H505" s="2" t="s">
        <v>363</v>
      </c>
      <c r="I505" s="2" t="s">
        <v>364</v>
      </c>
      <c r="J505" s="3" t="s">
        <v>95</v>
      </c>
      <c r="K505" s="2" t="s">
        <v>353</v>
      </c>
      <c r="L505" s="2"/>
      <c r="M505" s="2" t="s">
        <v>354</v>
      </c>
      <c r="N505" s="2">
        <v>21326</v>
      </c>
      <c r="P505" s="2" t="s">
        <v>365</v>
      </c>
      <c r="Q505" s="2" t="s">
        <v>366</v>
      </c>
    </row>
    <row r="506" spans="1:17" x14ac:dyDescent="0.2">
      <c r="A506" s="2" t="s">
        <v>346</v>
      </c>
      <c r="B506" s="2" t="s">
        <v>347</v>
      </c>
      <c r="D506" s="2" t="s">
        <v>348</v>
      </c>
      <c r="E506" s="2" t="s">
        <v>349</v>
      </c>
      <c r="F506" s="3">
        <v>46087.425247939813</v>
      </c>
      <c r="G506" s="2" t="s">
        <v>350</v>
      </c>
      <c r="H506" s="2" t="s">
        <v>351</v>
      </c>
      <c r="I506" s="2" t="s">
        <v>352</v>
      </c>
      <c r="J506" s="3" t="s">
        <v>95</v>
      </c>
      <c r="K506" s="2" t="s">
        <v>353</v>
      </c>
      <c r="L506" s="2"/>
      <c r="M506" s="2" t="s">
        <v>354</v>
      </c>
      <c r="N506" s="2">
        <v>56.34</v>
      </c>
      <c r="P506" s="2" t="s">
        <v>355</v>
      </c>
      <c r="Q506" s="2" t="s">
        <v>356</v>
      </c>
    </row>
    <row r="507" spans="1:17" x14ac:dyDescent="0.2">
      <c r="A507" s="2" t="s">
        <v>346</v>
      </c>
      <c r="B507" s="2" t="s">
        <v>347</v>
      </c>
      <c r="D507" s="2" t="s">
        <v>348</v>
      </c>
      <c r="E507" s="2" t="s">
        <v>349</v>
      </c>
      <c r="F507" s="3">
        <v>46087.425282118056</v>
      </c>
      <c r="G507" s="2" t="s">
        <v>362</v>
      </c>
      <c r="H507" s="2" t="s">
        <v>363</v>
      </c>
      <c r="I507" s="2" t="s">
        <v>364</v>
      </c>
      <c r="J507" s="3" t="s">
        <v>95</v>
      </c>
      <c r="K507" s="2" t="s">
        <v>353</v>
      </c>
      <c r="L507" s="2"/>
      <c r="M507" s="2" t="s">
        <v>354</v>
      </c>
      <c r="N507" s="2">
        <v>-11182</v>
      </c>
      <c r="P507" s="2" t="s">
        <v>365</v>
      </c>
      <c r="Q507" s="2" t="s">
        <v>366</v>
      </c>
    </row>
    <row r="508" spans="1:17" x14ac:dyDescent="0.2">
      <c r="A508" s="2" t="s">
        <v>346</v>
      </c>
      <c r="B508" s="2" t="s">
        <v>347</v>
      </c>
      <c r="D508" s="2" t="s">
        <v>348</v>
      </c>
      <c r="E508" s="2" t="s">
        <v>349</v>
      </c>
      <c r="F508" s="3">
        <v>46087.425538009258</v>
      </c>
      <c r="G508" s="2" t="s">
        <v>362</v>
      </c>
      <c r="H508" s="2" t="s">
        <v>363</v>
      </c>
      <c r="I508" s="2" t="s">
        <v>364</v>
      </c>
      <c r="J508" s="3" t="s">
        <v>95</v>
      </c>
      <c r="K508" s="2" t="s">
        <v>353</v>
      </c>
      <c r="L508" s="2"/>
      <c r="M508" s="2" t="s">
        <v>354</v>
      </c>
      <c r="N508" s="2">
        <v>38675</v>
      </c>
      <c r="P508" s="2" t="s">
        <v>365</v>
      </c>
      <c r="Q508" s="2" t="s">
        <v>366</v>
      </c>
    </row>
    <row r="509" spans="1:17" x14ac:dyDescent="0.2">
      <c r="A509" s="2" t="s">
        <v>346</v>
      </c>
      <c r="B509" s="2" t="s">
        <v>347</v>
      </c>
      <c r="D509" s="2" t="s">
        <v>348</v>
      </c>
      <c r="E509" s="2" t="s">
        <v>349</v>
      </c>
      <c r="F509" s="3">
        <v>46087.425700821761</v>
      </c>
      <c r="G509" s="2" t="s">
        <v>362</v>
      </c>
      <c r="H509" s="2" t="s">
        <v>363</v>
      </c>
      <c r="I509" s="2" t="s">
        <v>364</v>
      </c>
      <c r="J509" s="3" t="s">
        <v>95</v>
      </c>
      <c r="K509" s="2" t="s">
        <v>353</v>
      </c>
      <c r="L509" s="2"/>
      <c r="M509" s="2" t="s">
        <v>354</v>
      </c>
      <c r="N509" s="2">
        <v>30363</v>
      </c>
      <c r="P509" s="2" t="s">
        <v>365</v>
      </c>
      <c r="Q509" s="2" t="s">
        <v>366</v>
      </c>
    </row>
    <row r="510" spans="1:17" x14ac:dyDescent="0.2">
      <c r="A510" s="2" t="s">
        <v>346</v>
      </c>
      <c r="B510" s="2" t="s">
        <v>347</v>
      </c>
      <c r="D510" s="2" t="s">
        <v>348</v>
      </c>
      <c r="E510" s="2" t="s">
        <v>349</v>
      </c>
      <c r="F510" s="3">
        <v>46087.425724016204</v>
      </c>
      <c r="G510" s="2" t="s">
        <v>362</v>
      </c>
      <c r="H510" s="2" t="s">
        <v>363</v>
      </c>
      <c r="I510" s="2" t="s">
        <v>364</v>
      </c>
      <c r="J510" s="3" t="s">
        <v>95</v>
      </c>
      <c r="K510" s="2" t="s">
        <v>353</v>
      </c>
      <c r="L510" s="2"/>
      <c r="M510" s="2" t="s">
        <v>354</v>
      </c>
      <c r="N510" s="2">
        <v>-9248</v>
      </c>
      <c r="P510" s="2" t="s">
        <v>365</v>
      </c>
      <c r="Q510" s="2" t="s">
        <v>366</v>
      </c>
    </row>
    <row r="511" spans="1:17" x14ac:dyDescent="0.2">
      <c r="A511" s="2" t="s">
        <v>346</v>
      </c>
      <c r="B511" s="2" t="s">
        <v>347</v>
      </c>
      <c r="D511" s="2" t="s">
        <v>348</v>
      </c>
      <c r="E511" s="2" t="s">
        <v>349</v>
      </c>
      <c r="F511" s="3">
        <v>46087.425920995367</v>
      </c>
      <c r="G511" s="2" t="s">
        <v>357</v>
      </c>
      <c r="H511" s="2" t="s">
        <v>358</v>
      </c>
      <c r="I511" s="2" t="s">
        <v>359</v>
      </c>
      <c r="J511" s="3" t="s">
        <v>95</v>
      </c>
      <c r="K511" s="2" t="s">
        <v>353</v>
      </c>
      <c r="L511" s="2"/>
      <c r="M511" s="2" t="s">
        <v>354</v>
      </c>
      <c r="N511" s="2">
        <v>356</v>
      </c>
      <c r="P511" s="2" t="s">
        <v>360</v>
      </c>
      <c r="Q511" s="2" t="s">
        <v>361</v>
      </c>
    </row>
    <row r="512" spans="1:17" x14ac:dyDescent="0.2">
      <c r="A512" s="2" t="s">
        <v>346</v>
      </c>
      <c r="B512" s="2" t="s">
        <v>347</v>
      </c>
      <c r="D512" s="2" t="s">
        <v>348</v>
      </c>
      <c r="E512" s="2" t="s">
        <v>349</v>
      </c>
      <c r="F512" s="3">
        <v>46087.425921631948</v>
      </c>
      <c r="G512" s="2" t="s">
        <v>362</v>
      </c>
      <c r="H512" s="2" t="s">
        <v>363</v>
      </c>
      <c r="I512" s="2" t="s">
        <v>364</v>
      </c>
      <c r="J512" s="3" t="s">
        <v>95</v>
      </c>
      <c r="K512" s="2" t="s">
        <v>353</v>
      </c>
      <c r="L512" s="2"/>
      <c r="M512" s="2" t="s">
        <v>354</v>
      </c>
      <c r="N512" s="2">
        <v>-8366</v>
      </c>
      <c r="P512" s="2" t="s">
        <v>365</v>
      </c>
      <c r="Q512" s="2" t="s">
        <v>366</v>
      </c>
    </row>
    <row r="513" spans="1:17" x14ac:dyDescent="0.2">
      <c r="A513" s="2" t="s">
        <v>346</v>
      </c>
      <c r="B513" s="2" t="s">
        <v>347</v>
      </c>
      <c r="D513" s="2" t="s">
        <v>348</v>
      </c>
      <c r="E513" s="2" t="s">
        <v>349</v>
      </c>
      <c r="F513" s="3">
        <v>46087.425979768515</v>
      </c>
      <c r="G513" s="2" t="s">
        <v>362</v>
      </c>
      <c r="H513" s="2" t="s">
        <v>363</v>
      </c>
      <c r="I513" s="2" t="s">
        <v>364</v>
      </c>
      <c r="J513" s="3" t="s">
        <v>95</v>
      </c>
      <c r="K513" s="2" t="s">
        <v>353</v>
      </c>
      <c r="L513" s="2"/>
      <c r="M513" s="2" t="s">
        <v>354</v>
      </c>
      <c r="N513" s="2">
        <v>-42008</v>
      </c>
      <c r="P513" s="2" t="s">
        <v>365</v>
      </c>
      <c r="Q513" s="2" t="s">
        <v>366</v>
      </c>
    </row>
    <row r="514" spans="1:17" x14ac:dyDescent="0.2">
      <c r="A514" s="2" t="s">
        <v>346</v>
      </c>
      <c r="B514" s="2" t="s">
        <v>347</v>
      </c>
      <c r="D514" s="2" t="s">
        <v>348</v>
      </c>
      <c r="E514" s="2" t="s">
        <v>349</v>
      </c>
      <c r="F514" s="3">
        <v>46087.426130821761</v>
      </c>
      <c r="G514" s="2" t="s">
        <v>362</v>
      </c>
      <c r="H514" s="2" t="s">
        <v>363</v>
      </c>
      <c r="I514" s="2" t="s">
        <v>364</v>
      </c>
      <c r="J514" s="3" t="s">
        <v>95</v>
      </c>
      <c r="K514" s="2" t="s">
        <v>353</v>
      </c>
      <c r="L514" s="2"/>
      <c r="M514" s="2" t="s">
        <v>354</v>
      </c>
      <c r="N514" s="2">
        <v>26085</v>
      </c>
      <c r="P514" s="2" t="s">
        <v>365</v>
      </c>
      <c r="Q514" s="2" t="s">
        <v>366</v>
      </c>
    </row>
    <row r="515" spans="1:17" x14ac:dyDescent="0.2">
      <c r="A515" s="2" t="s">
        <v>346</v>
      </c>
      <c r="B515" s="2" t="s">
        <v>347</v>
      </c>
      <c r="D515" s="2" t="s">
        <v>348</v>
      </c>
      <c r="E515" s="2" t="s">
        <v>349</v>
      </c>
      <c r="F515" s="3">
        <v>46087.426165775461</v>
      </c>
      <c r="G515" s="2" t="s">
        <v>362</v>
      </c>
      <c r="H515" s="2" t="s">
        <v>363</v>
      </c>
      <c r="I515" s="2" t="s">
        <v>364</v>
      </c>
      <c r="J515" s="3" t="s">
        <v>95</v>
      </c>
      <c r="K515" s="2" t="s">
        <v>353</v>
      </c>
      <c r="L515" s="2"/>
      <c r="M515" s="2" t="s">
        <v>354</v>
      </c>
      <c r="N515" s="2">
        <v>-10208</v>
      </c>
      <c r="P515" s="2" t="s">
        <v>365</v>
      </c>
      <c r="Q515" s="2" t="s">
        <v>366</v>
      </c>
    </row>
    <row r="516" spans="1:17" x14ac:dyDescent="0.2">
      <c r="A516" s="2" t="s">
        <v>346</v>
      </c>
      <c r="B516" s="2" t="s">
        <v>347</v>
      </c>
      <c r="D516" s="2" t="s">
        <v>348</v>
      </c>
      <c r="E516" s="2" t="s">
        <v>349</v>
      </c>
      <c r="F516" s="3">
        <v>46087.426282187502</v>
      </c>
      <c r="G516" s="2" t="s">
        <v>362</v>
      </c>
      <c r="H516" s="2" t="s">
        <v>363</v>
      </c>
      <c r="I516" s="2" t="s">
        <v>364</v>
      </c>
      <c r="J516" s="3" t="s">
        <v>95</v>
      </c>
      <c r="K516" s="2" t="s">
        <v>353</v>
      </c>
      <c r="L516" s="2"/>
      <c r="M516" s="2" t="s">
        <v>354</v>
      </c>
      <c r="N516" s="2">
        <v>16591</v>
      </c>
      <c r="P516" s="2" t="s">
        <v>365</v>
      </c>
      <c r="Q516" s="2" t="s">
        <v>366</v>
      </c>
    </row>
    <row r="517" spans="1:17" x14ac:dyDescent="0.2">
      <c r="A517" s="2" t="s">
        <v>346</v>
      </c>
      <c r="B517" s="2" t="s">
        <v>347</v>
      </c>
      <c r="D517" s="2" t="s">
        <v>348</v>
      </c>
      <c r="E517" s="2" t="s">
        <v>349</v>
      </c>
      <c r="F517" s="3">
        <v>46087.426340509257</v>
      </c>
      <c r="G517" s="2" t="s">
        <v>362</v>
      </c>
      <c r="H517" s="2" t="s">
        <v>363</v>
      </c>
      <c r="I517" s="2" t="s">
        <v>364</v>
      </c>
      <c r="J517" s="3" t="s">
        <v>95</v>
      </c>
      <c r="K517" s="2" t="s">
        <v>353</v>
      </c>
      <c r="L517" s="2"/>
      <c r="M517" s="2" t="s">
        <v>354</v>
      </c>
      <c r="N517" s="2">
        <v>-9531</v>
      </c>
      <c r="P517" s="2" t="s">
        <v>365</v>
      </c>
      <c r="Q517" s="2" t="s">
        <v>366</v>
      </c>
    </row>
    <row r="518" spans="1:17" x14ac:dyDescent="0.2">
      <c r="A518" s="2" t="s">
        <v>346</v>
      </c>
      <c r="B518" s="2" t="s">
        <v>347</v>
      </c>
      <c r="D518" s="2" t="s">
        <v>348</v>
      </c>
      <c r="E518" s="2" t="s">
        <v>349</v>
      </c>
      <c r="F518" s="3">
        <v>46087.426410902779</v>
      </c>
      <c r="G518" s="2" t="s">
        <v>362</v>
      </c>
      <c r="H518" s="2" t="s">
        <v>363</v>
      </c>
      <c r="I518" s="2" t="s">
        <v>364</v>
      </c>
      <c r="J518" s="3" t="s">
        <v>95</v>
      </c>
      <c r="K518" s="2" t="s">
        <v>353</v>
      </c>
      <c r="L518" s="2"/>
      <c r="M518" s="2" t="s">
        <v>354</v>
      </c>
      <c r="N518" s="2">
        <v>27495</v>
      </c>
      <c r="P518" s="2" t="s">
        <v>365</v>
      </c>
      <c r="Q518" s="2" t="s">
        <v>366</v>
      </c>
    </row>
    <row r="519" spans="1:17" x14ac:dyDescent="0.2">
      <c r="A519" s="2" t="s">
        <v>346</v>
      </c>
      <c r="B519" s="2" t="s">
        <v>347</v>
      </c>
      <c r="D519" s="2" t="s">
        <v>348</v>
      </c>
      <c r="E519" s="2" t="s">
        <v>349</v>
      </c>
      <c r="F519" s="3">
        <v>46087.426422476849</v>
      </c>
      <c r="G519" s="2" t="s">
        <v>362</v>
      </c>
      <c r="H519" s="2" t="s">
        <v>363</v>
      </c>
      <c r="I519" s="2" t="s">
        <v>364</v>
      </c>
      <c r="J519" s="3" t="s">
        <v>95</v>
      </c>
      <c r="K519" s="2" t="s">
        <v>353</v>
      </c>
      <c r="L519" s="2"/>
      <c r="M519" s="2" t="s">
        <v>354</v>
      </c>
      <c r="N519" s="2">
        <v>-5089</v>
      </c>
      <c r="P519" s="2" t="s">
        <v>365</v>
      </c>
      <c r="Q519" s="2" t="s">
        <v>366</v>
      </c>
    </row>
    <row r="520" spans="1:17" x14ac:dyDescent="0.2">
      <c r="A520" s="2" t="s">
        <v>346</v>
      </c>
      <c r="B520" s="2" t="s">
        <v>347</v>
      </c>
      <c r="D520" s="2" t="s">
        <v>348</v>
      </c>
      <c r="E520" s="2" t="s">
        <v>349</v>
      </c>
      <c r="F520" s="3">
        <v>46087.426911215276</v>
      </c>
      <c r="G520" s="2" t="s">
        <v>362</v>
      </c>
      <c r="H520" s="2" t="s">
        <v>363</v>
      </c>
      <c r="I520" s="2" t="s">
        <v>364</v>
      </c>
      <c r="J520" s="3" t="s">
        <v>95</v>
      </c>
      <c r="K520" s="2" t="s">
        <v>353</v>
      </c>
      <c r="L520" s="2"/>
      <c r="M520" s="2" t="s">
        <v>354</v>
      </c>
      <c r="N520" s="2">
        <v>-16175</v>
      </c>
      <c r="P520" s="2" t="s">
        <v>365</v>
      </c>
      <c r="Q520" s="2" t="s">
        <v>366</v>
      </c>
    </row>
    <row r="521" spans="1:17" x14ac:dyDescent="0.2">
      <c r="A521" s="2" t="s">
        <v>346</v>
      </c>
      <c r="B521" s="2" t="s">
        <v>347</v>
      </c>
      <c r="D521" s="2" t="s">
        <v>348</v>
      </c>
      <c r="E521" s="2" t="s">
        <v>349</v>
      </c>
      <c r="F521" s="3">
        <v>46087.42706253472</v>
      </c>
      <c r="G521" s="2" t="s">
        <v>362</v>
      </c>
      <c r="H521" s="2" t="s">
        <v>363</v>
      </c>
      <c r="I521" s="2" t="s">
        <v>364</v>
      </c>
      <c r="J521" s="3" t="s">
        <v>95</v>
      </c>
      <c r="K521" s="2" t="s">
        <v>353</v>
      </c>
      <c r="L521" s="2"/>
      <c r="M521" s="2" t="s">
        <v>354</v>
      </c>
      <c r="N521" s="2">
        <v>36575</v>
      </c>
      <c r="P521" s="2" t="s">
        <v>365</v>
      </c>
      <c r="Q521" s="2" t="s">
        <v>366</v>
      </c>
    </row>
    <row r="522" spans="1:17" x14ac:dyDescent="0.2">
      <c r="A522" s="2" t="s">
        <v>346</v>
      </c>
      <c r="B522" s="2" t="s">
        <v>347</v>
      </c>
      <c r="D522" s="2" t="s">
        <v>348</v>
      </c>
      <c r="E522" s="2" t="s">
        <v>349</v>
      </c>
      <c r="F522" s="3">
        <v>46087.427167060188</v>
      </c>
      <c r="G522" s="2" t="s">
        <v>362</v>
      </c>
      <c r="H522" s="2" t="s">
        <v>363</v>
      </c>
      <c r="I522" s="2" t="s">
        <v>364</v>
      </c>
      <c r="J522" s="3" t="s">
        <v>95</v>
      </c>
      <c r="K522" s="2" t="s">
        <v>353</v>
      </c>
      <c r="L522" s="2"/>
      <c r="M522" s="2" t="s">
        <v>354</v>
      </c>
      <c r="N522" s="2">
        <v>-23140</v>
      </c>
      <c r="P522" s="2" t="s">
        <v>365</v>
      </c>
      <c r="Q522" s="2" t="s">
        <v>366</v>
      </c>
    </row>
    <row r="523" spans="1:17" x14ac:dyDescent="0.2">
      <c r="A523" s="2" t="s">
        <v>346</v>
      </c>
      <c r="B523" s="2" t="s">
        <v>347</v>
      </c>
      <c r="D523" s="2" t="s">
        <v>348</v>
      </c>
      <c r="E523" s="2" t="s">
        <v>349</v>
      </c>
      <c r="F523" s="3">
        <v>46087.427248449072</v>
      </c>
      <c r="G523" s="2" t="s">
        <v>362</v>
      </c>
      <c r="H523" s="2" t="s">
        <v>363</v>
      </c>
      <c r="I523" s="2" t="s">
        <v>364</v>
      </c>
      <c r="J523" s="3" t="s">
        <v>95</v>
      </c>
      <c r="K523" s="2" t="s">
        <v>353</v>
      </c>
      <c r="L523" s="2"/>
      <c r="M523" s="2" t="s">
        <v>354</v>
      </c>
      <c r="N523" s="2">
        <v>24322</v>
      </c>
      <c r="P523" s="2" t="s">
        <v>365</v>
      </c>
      <c r="Q523" s="2" t="s">
        <v>366</v>
      </c>
    </row>
    <row r="524" spans="1:17" x14ac:dyDescent="0.2">
      <c r="A524" s="2" t="s">
        <v>346</v>
      </c>
      <c r="B524" s="2" t="s">
        <v>347</v>
      </c>
      <c r="D524" s="2" t="s">
        <v>348</v>
      </c>
      <c r="E524" s="2" t="s">
        <v>349</v>
      </c>
      <c r="F524" s="3">
        <v>46087.427387962962</v>
      </c>
      <c r="G524" s="2" t="s">
        <v>362</v>
      </c>
      <c r="H524" s="2" t="s">
        <v>363</v>
      </c>
      <c r="I524" s="2" t="s">
        <v>364</v>
      </c>
      <c r="J524" s="3" t="s">
        <v>95</v>
      </c>
      <c r="K524" s="2" t="s">
        <v>353</v>
      </c>
      <c r="L524" s="2"/>
      <c r="M524" s="2" t="s">
        <v>354</v>
      </c>
      <c r="N524" s="2">
        <v>-4425</v>
      </c>
      <c r="P524" s="2" t="s">
        <v>365</v>
      </c>
      <c r="Q524" s="2" t="s">
        <v>366</v>
      </c>
    </row>
    <row r="525" spans="1:17" x14ac:dyDescent="0.2">
      <c r="A525" s="2" t="s">
        <v>346</v>
      </c>
      <c r="B525" s="2" t="s">
        <v>347</v>
      </c>
      <c r="D525" s="2" t="s">
        <v>348</v>
      </c>
      <c r="E525" s="2" t="s">
        <v>349</v>
      </c>
      <c r="F525" s="3">
        <v>46087.42751577546</v>
      </c>
      <c r="G525" s="2" t="s">
        <v>362</v>
      </c>
      <c r="H525" s="2" t="s">
        <v>363</v>
      </c>
      <c r="I525" s="2" t="s">
        <v>364</v>
      </c>
      <c r="J525" s="3" t="s">
        <v>95</v>
      </c>
      <c r="K525" s="2" t="s">
        <v>353</v>
      </c>
      <c r="L525" s="2"/>
      <c r="M525" s="2" t="s">
        <v>354</v>
      </c>
      <c r="N525" s="2">
        <v>36101</v>
      </c>
      <c r="P525" s="2" t="s">
        <v>365</v>
      </c>
      <c r="Q525" s="2" t="s">
        <v>366</v>
      </c>
    </row>
    <row r="526" spans="1:17" x14ac:dyDescent="0.2">
      <c r="A526" s="2" t="s">
        <v>346</v>
      </c>
      <c r="B526" s="2" t="s">
        <v>347</v>
      </c>
      <c r="D526" s="2" t="s">
        <v>348</v>
      </c>
      <c r="E526" s="2" t="s">
        <v>349</v>
      </c>
      <c r="F526" s="3">
        <v>46087.427573877314</v>
      </c>
      <c r="G526" s="2" t="s">
        <v>362</v>
      </c>
      <c r="H526" s="2" t="s">
        <v>363</v>
      </c>
      <c r="I526" s="2" t="s">
        <v>364</v>
      </c>
      <c r="J526" s="3" t="s">
        <v>95</v>
      </c>
      <c r="K526" s="2" t="s">
        <v>353</v>
      </c>
      <c r="L526" s="2"/>
      <c r="M526" s="2" t="s">
        <v>354</v>
      </c>
      <c r="N526" s="2">
        <v>-11842</v>
      </c>
      <c r="P526" s="2" t="s">
        <v>365</v>
      </c>
      <c r="Q526" s="2" t="s">
        <v>366</v>
      </c>
    </row>
    <row r="527" spans="1:17" x14ac:dyDescent="0.2">
      <c r="A527" s="2" t="s">
        <v>346</v>
      </c>
      <c r="B527" s="2" t="s">
        <v>347</v>
      </c>
      <c r="D527" s="2" t="s">
        <v>348</v>
      </c>
      <c r="E527" s="2" t="s">
        <v>349</v>
      </c>
      <c r="F527" s="3">
        <v>46087.427678541666</v>
      </c>
      <c r="G527" s="2" t="s">
        <v>362</v>
      </c>
      <c r="H527" s="2" t="s">
        <v>363</v>
      </c>
      <c r="I527" s="2" t="s">
        <v>364</v>
      </c>
      <c r="J527" s="3" t="s">
        <v>95</v>
      </c>
      <c r="K527" s="2" t="s">
        <v>353</v>
      </c>
      <c r="L527" s="2"/>
      <c r="M527" s="2" t="s">
        <v>354</v>
      </c>
      <c r="N527" s="2">
        <v>17297</v>
      </c>
      <c r="P527" s="2" t="s">
        <v>365</v>
      </c>
      <c r="Q527" s="2" t="s">
        <v>366</v>
      </c>
    </row>
    <row r="528" spans="1:17" x14ac:dyDescent="0.2">
      <c r="A528" s="2" t="s">
        <v>346</v>
      </c>
      <c r="B528" s="2" t="s">
        <v>347</v>
      </c>
      <c r="D528" s="2" t="s">
        <v>348</v>
      </c>
      <c r="E528" s="2" t="s">
        <v>349</v>
      </c>
      <c r="F528" s="3">
        <v>46087.428201319446</v>
      </c>
      <c r="G528" s="2" t="s">
        <v>362</v>
      </c>
      <c r="H528" s="2" t="s">
        <v>363</v>
      </c>
      <c r="I528" s="2" t="s">
        <v>364</v>
      </c>
      <c r="J528" s="3" t="s">
        <v>95</v>
      </c>
      <c r="K528" s="2" t="s">
        <v>353</v>
      </c>
      <c r="L528" s="2"/>
      <c r="M528" s="2" t="s">
        <v>354</v>
      </c>
      <c r="N528" s="2">
        <v>-4230</v>
      </c>
      <c r="P528" s="2" t="s">
        <v>365</v>
      </c>
      <c r="Q528" s="2" t="s">
        <v>366</v>
      </c>
    </row>
    <row r="529" spans="1:17" x14ac:dyDescent="0.2">
      <c r="A529" s="2" t="s">
        <v>346</v>
      </c>
      <c r="B529" s="2" t="s">
        <v>347</v>
      </c>
      <c r="D529" s="2" t="s">
        <v>348</v>
      </c>
      <c r="E529" s="2" t="s">
        <v>349</v>
      </c>
      <c r="F529" s="3">
        <v>46087.428247835647</v>
      </c>
      <c r="G529" s="2" t="s">
        <v>362</v>
      </c>
      <c r="H529" s="2" t="s">
        <v>363</v>
      </c>
      <c r="I529" s="2" t="s">
        <v>364</v>
      </c>
      <c r="J529" s="3" t="s">
        <v>95</v>
      </c>
      <c r="K529" s="2" t="s">
        <v>353</v>
      </c>
      <c r="L529" s="2"/>
      <c r="M529" s="2" t="s">
        <v>354</v>
      </c>
      <c r="N529" s="2">
        <v>-33417</v>
      </c>
      <c r="P529" s="2" t="s">
        <v>365</v>
      </c>
      <c r="Q529" s="2" t="s">
        <v>366</v>
      </c>
    </row>
    <row r="530" spans="1:17" x14ac:dyDescent="0.2">
      <c r="A530" s="2" t="s">
        <v>346</v>
      </c>
      <c r="B530" s="2" t="s">
        <v>347</v>
      </c>
      <c r="D530" s="2" t="s">
        <v>348</v>
      </c>
      <c r="E530" s="2" t="s">
        <v>349</v>
      </c>
      <c r="F530" s="3">
        <v>46087.428526608797</v>
      </c>
      <c r="G530" s="2" t="s">
        <v>362</v>
      </c>
      <c r="H530" s="2" t="s">
        <v>363</v>
      </c>
      <c r="I530" s="2" t="s">
        <v>364</v>
      </c>
      <c r="J530" s="3" t="s">
        <v>95</v>
      </c>
      <c r="K530" s="2" t="s">
        <v>353</v>
      </c>
      <c r="L530" s="2"/>
      <c r="M530" s="2" t="s">
        <v>354</v>
      </c>
      <c r="N530" s="2">
        <v>11119</v>
      </c>
      <c r="P530" s="2" t="s">
        <v>365</v>
      </c>
      <c r="Q530" s="2" t="s">
        <v>366</v>
      </c>
    </row>
    <row r="531" spans="1:17" x14ac:dyDescent="0.2">
      <c r="A531" s="2" t="s">
        <v>346</v>
      </c>
      <c r="B531" s="2" t="s">
        <v>347</v>
      </c>
      <c r="D531" s="2" t="s">
        <v>348</v>
      </c>
      <c r="E531" s="2" t="s">
        <v>349</v>
      </c>
      <c r="F531" s="3">
        <v>46087.428631134258</v>
      </c>
      <c r="G531" s="2" t="s">
        <v>362</v>
      </c>
      <c r="H531" s="2" t="s">
        <v>363</v>
      </c>
      <c r="I531" s="2" t="s">
        <v>364</v>
      </c>
      <c r="J531" s="3" t="s">
        <v>95</v>
      </c>
      <c r="K531" s="2" t="s">
        <v>353</v>
      </c>
      <c r="L531" s="2"/>
      <c r="M531" s="2" t="s">
        <v>354</v>
      </c>
      <c r="N531" s="2">
        <v>-41238</v>
      </c>
      <c r="P531" s="2" t="s">
        <v>365</v>
      </c>
      <c r="Q531" s="2" t="s">
        <v>366</v>
      </c>
    </row>
    <row r="532" spans="1:17" x14ac:dyDescent="0.2">
      <c r="A532" s="2" t="s">
        <v>346</v>
      </c>
      <c r="B532" s="2" t="s">
        <v>347</v>
      </c>
      <c r="D532" s="2" t="s">
        <v>348</v>
      </c>
      <c r="E532" s="2" t="s">
        <v>349</v>
      </c>
      <c r="F532" s="3">
        <v>46087.428642754632</v>
      </c>
      <c r="G532" s="2" t="s">
        <v>362</v>
      </c>
      <c r="H532" s="2" t="s">
        <v>363</v>
      </c>
      <c r="I532" s="2" t="s">
        <v>364</v>
      </c>
      <c r="J532" s="3" t="s">
        <v>95</v>
      </c>
      <c r="K532" s="2" t="s">
        <v>353</v>
      </c>
      <c r="L532" s="2"/>
      <c r="M532" s="2" t="s">
        <v>354</v>
      </c>
      <c r="N532" s="2">
        <v>-8436</v>
      </c>
      <c r="P532" s="2" t="s">
        <v>365</v>
      </c>
      <c r="Q532" s="2" t="s">
        <v>366</v>
      </c>
    </row>
    <row r="533" spans="1:17" x14ac:dyDescent="0.2">
      <c r="A533" s="2" t="s">
        <v>346</v>
      </c>
      <c r="B533" s="2" t="s">
        <v>347</v>
      </c>
      <c r="D533" s="2" t="s">
        <v>348</v>
      </c>
      <c r="E533" s="2" t="s">
        <v>349</v>
      </c>
      <c r="F533" s="3">
        <v>46087.428886724534</v>
      </c>
      <c r="G533" s="2" t="s">
        <v>362</v>
      </c>
      <c r="H533" s="2" t="s">
        <v>363</v>
      </c>
      <c r="I533" s="2" t="s">
        <v>364</v>
      </c>
      <c r="J533" s="3" t="s">
        <v>95</v>
      </c>
      <c r="K533" s="2" t="s">
        <v>353</v>
      </c>
      <c r="L533" s="2"/>
      <c r="M533" s="2" t="s">
        <v>354</v>
      </c>
      <c r="N533" s="2">
        <v>39656</v>
      </c>
      <c r="P533" s="2" t="s">
        <v>365</v>
      </c>
      <c r="Q533" s="2" t="s">
        <v>366</v>
      </c>
    </row>
    <row r="534" spans="1:17" x14ac:dyDescent="0.2">
      <c r="A534" s="2" t="s">
        <v>346</v>
      </c>
      <c r="B534" s="2" t="s">
        <v>347</v>
      </c>
      <c r="D534" s="2" t="s">
        <v>348</v>
      </c>
      <c r="E534" s="2" t="s">
        <v>349</v>
      </c>
      <c r="F534" s="3">
        <v>46087.428956388889</v>
      </c>
      <c r="G534" s="2" t="s">
        <v>362</v>
      </c>
      <c r="H534" s="2" t="s">
        <v>363</v>
      </c>
      <c r="I534" s="2" t="s">
        <v>364</v>
      </c>
      <c r="J534" s="3" t="s">
        <v>95</v>
      </c>
      <c r="K534" s="2" t="s">
        <v>353</v>
      </c>
      <c r="L534" s="2"/>
      <c r="M534" s="2" t="s">
        <v>354</v>
      </c>
      <c r="N534" s="2">
        <v>-3866</v>
      </c>
      <c r="P534" s="2" t="s">
        <v>365</v>
      </c>
      <c r="Q534" s="2" t="s">
        <v>366</v>
      </c>
    </row>
    <row r="535" spans="1:17" x14ac:dyDescent="0.2">
      <c r="A535" s="2" t="s">
        <v>346</v>
      </c>
      <c r="B535" s="2" t="s">
        <v>347</v>
      </c>
      <c r="D535" s="2" t="s">
        <v>348</v>
      </c>
      <c r="E535" s="2" t="s">
        <v>349</v>
      </c>
      <c r="F535" s="3">
        <v>46087.428957118056</v>
      </c>
      <c r="G535" s="2" t="s">
        <v>350</v>
      </c>
      <c r="H535" s="2" t="s">
        <v>351</v>
      </c>
      <c r="I535" s="2" t="s">
        <v>352</v>
      </c>
      <c r="J535" s="3" t="s">
        <v>95</v>
      </c>
      <c r="K535" s="2" t="s">
        <v>353</v>
      </c>
      <c r="L535" s="2"/>
      <c r="M535" s="2" t="s">
        <v>354</v>
      </c>
      <c r="N535" s="2">
        <v>55.245000000000005</v>
      </c>
      <c r="P535" s="2" t="s">
        <v>355</v>
      </c>
      <c r="Q535" s="2" t="s">
        <v>356</v>
      </c>
    </row>
    <row r="536" spans="1:17" x14ac:dyDescent="0.2">
      <c r="A536" s="2" t="s">
        <v>346</v>
      </c>
      <c r="B536" s="2" t="s">
        <v>347</v>
      </c>
      <c r="D536" s="2" t="s">
        <v>348</v>
      </c>
      <c r="E536" s="2" t="s">
        <v>349</v>
      </c>
      <c r="F536" s="3">
        <v>46087.428991111112</v>
      </c>
      <c r="G536" s="2" t="s">
        <v>362</v>
      </c>
      <c r="H536" s="2" t="s">
        <v>363</v>
      </c>
      <c r="I536" s="2" t="s">
        <v>364</v>
      </c>
      <c r="J536" s="3" t="s">
        <v>95</v>
      </c>
      <c r="K536" s="2" t="s">
        <v>353</v>
      </c>
      <c r="L536" s="2"/>
      <c r="M536" s="2" t="s">
        <v>354</v>
      </c>
      <c r="N536" s="2">
        <v>-2297</v>
      </c>
      <c r="P536" s="2" t="s">
        <v>365</v>
      </c>
      <c r="Q536" s="2" t="s">
        <v>366</v>
      </c>
    </row>
    <row r="537" spans="1:17" x14ac:dyDescent="0.2">
      <c r="A537" s="2" t="s">
        <v>346</v>
      </c>
      <c r="B537" s="2" t="s">
        <v>347</v>
      </c>
      <c r="D537" s="2" t="s">
        <v>348</v>
      </c>
      <c r="E537" s="2" t="s">
        <v>349</v>
      </c>
      <c r="F537" s="3">
        <v>46087.429014351852</v>
      </c>
      <c r="G537" s="2" t="s">
        <v>362</v>
      </c>
      <c r="H537" s="2" t="s">
        <v>363</v>
      </c>
      <c r="I537" s="2" t="s">
        <v>364</v>
      </c>
      <c r="J537" s="3" t="s">
        <v>95</v>
      </c>
      <c r="K537" s="2" t="s">
        <v>353</v>
      </c>
      <c r="L537" s="2"/>
      <c r="M537" s="2" t="s">
        <v>354</v>
      </c>
      <c r="N537" s="2">
        <v>41300</v>
      </c>
      <c r="P537" s="2" t="s">
        <v>365</v>
      </c>
      <c r="Q537" s="2" t="s">
        <v>366</v>
      </c>
    </row>
    <row r="538" spans="1:17" x14ac:dyDescent="0.2">
      <c r="A538" s="2" t="s">
        <v>346</v>
      </c>
      <c r="B538" s="2" t="s">
        <v>347</v>
      </c>
      <c r="D538" s="2" t="s">
        <v>348</v>
      </c>
      <c r="E538" s="2" t="s">
        <v>349</v>
      </c>
      <c r="F538" s="3">
        <v>46087.429083935182</v>
      </c>
      <c r="G538" s="2" t="s">
        <v>362</v>
      </c>
      <c r="H538" s="2" t="s">
        <v>363</v>
      </c>
      <c r="I538" s="2" t="s">
        <v>364</v>
      </c>
      <c r="J538" s="3" t="s">
        <v>95</v>
      </c>
      <c r="K538" s="2" t="s">
        <v>353</v>
      </c>
      <c r="L538" s="2"/>
      <c r="M538" s="2" t="s">
        <v>354</v>
      </c>
      <c r="N538" s="2">
        <v>46671</v>
      </c>
      <c r="P538" s="2" t="s">
        <v>365</v>
      </c>
      <c r="Q538" s="2" t="s">
        <v>366</v>
      </c>
    </row>
    <row r="539" spans="1:17" x14ac:dyDescent="0.2">
      <c r="A539" s="2" t="s">
        <v>346</v>
      </c>
      <c r="B539" s="2" t="s">
        <v>347</v>
      </c>
      <c r="D539" s="2" t="s">
        <v>348</v>
      </c>
      <c r="E539" s="2" t="s">
        <v>349</v>
      </c>
      <c r="F539" s="3">
        <v>46087.429118692133</v>
      </c>
      <c r="G539" s="2" t="s">
        <v>362</v>
      </c>
      <c r="H539" s="2" t="s">
        <v>363</v>
      </c>
      <c r="I539" s="2" t="s">
        <v>364</v>
      </c>
      <c r="J539" s="3" t="s">
        <v>95</v>
      </c>
      <c r="K539" s="2" t="s">
        <v>353</v>
      </c>
      <c r="L539" s="2"/>
      <c r="M539" s="2" t="s">
        <v>354</v>
      </c>
      <c r="N539" s="2">
        <v>-9341</v>
      </c>
      <c r="P539" s="2" t="s">
        <v>365</v>
      </c>
      <c r="Q539" s="2" t="s">
        <v>366</v>
      </c>
    </row>
    <row r="540" spans="1:17" x14ac:dyDescent="0.2">
      <c r="A540" s="2" t="s">
        <v>346</v>
      </c>
      <c r="B540" s="2" t="s">
        <v>347</v>
      </c>
      <c r="D540" s="2" t="s">
        <v>348</v>
      </c>
      <c r="E540" s="2" t="s">
        <v>349</v>
      </c>
      <c r="F540" s="3">
        <v>46087.42913045139</v>
      </c>
      <c r="G540" s="2" t="s">
        <v>362</v>
      </c>
      <c r="H540" s="2" t="s">
        <v>363</v>
      </c>
      <c r="I540" s="2" t="s">
        <v>364</v>
      </c>
      <c r="J540" s="3" t="s">
        <v>95</v>
      </c>
      <c r="K540" s="2" t="s">
        <v>353</v>
      </c>
      <c r="L540" s="2"/>
      <c r="M540" s="2" t="s">
        <v>354</v>
      </c>
      <c r="N540" s="2">
        <v>37418</v>
      </c>
      <c r="P540" s="2" t="s">
        <v>365</v>
      </c>
      <c r="Q540" s="2" t="s">
        <v>366</v>
      </c>
    </row>
    <row r="541" spans="1:17" x14ac:dyDescent="0.2">
      <c r="A541" s="2" t="s">
        <v>346</v>
      </c>
      <c r="B541" s="2" t="s">
        <v>347</v>
      </c>
      <c r="D541" s="2" t="s">
        <v>348</v>
      </c>
      <c r="E541" s="2" t="s">
        <v>349</v>
      </c>
      <c r="F541" s="3">
        <v>46087.429421435183</v>
      </c>
      <c r="G541" s="2" t="s">
        <v>350</v>
      </c>
      <c r="H541" s="2" t="s">
        <v>351</v>
      </c>
      <c r="I541" s="2" t="s">
        <v>352</v>
      </c>
      <c r="J541" s="3" t="s">
        <v>95</v>
      </c>
      <c r="K541" s="2" t="s">
        <v>353</v>
      </c>
      <c r="L541" s="2"/>
      <c r="M541" s="2" t="s">
        <v>354</v>
      </c>
      <c r="N541" s="2">
        <v>54.024999999999999</v>
      </c>
      <c r="P541" s="2" t="s">
        <v>355</v>
      </c>
      <c r="Q541" s="2" t="s">
        <v>356</v>
      </c>
    </row>
    <row r="542" spans="1:17" x14ac:dyDescent="0.2">
      <c r="A542" s="2" t="s">
        <v>346</v>
      </c>
      <c r="B542" s="2" t="s">
        <v>347</v>
      </c>
      <c r="D542" s="2" t="s">
        <v>348</v>
      </c>
      <c r="E542" s="2" t="s">
        <v>349</v>
      </c>
      <c r="F542" s="3">
        <v>46087.429525648149</v>
      </c>
      <c r="G542" s="2" t="s">
        <v>362</v>
      </c>
      <c r="H542" s="2" t="s">
        <v>363</v>
      </c>
      <c r="I542" s="2" t="s">
        <v>364</v>
      </c>
      <c r="J542" s="3" t="s">
        <v>95</v>
      </c>
      <c r="K542" s="2" t="s">
        <v>353</v>
      </c>
      <c r="L542" s="2"/>
      <c r="M542" s="2" t="s">
        <v>354</v>
      </c>
      <c r="N542" s="2">
        <v>39157</v>
      </c>
      <c r="P542" s="2" t="s">
        <v>365</v>
      </c>
      <c r="Q542" s="2" t="s">
        <v>366</v>
      </c>
    </row>
    <row r="543" spans="1:17" x14ac:dyDescent="0.2">
      <c r="A543" s="2" t="s">
        <v>346</v>
      </c>
      <c r="B543" s="2" t="s">
        <v>347</v>
      </c>
      <c r="D543" s="2" t="s">
        <v>348</v>
      </c>
      <c r="E543" s="2" t="s">
        <v>349</v>
      </c>
      <c r="F543" s="3">
        <v>46087.42954892361</v>
      </c>
      <c r="G543" s="2" t="s">
        <v>362</v>
      </c>
      <c r="H543" s="2" t="s">
        <v>363</v>
      </c>
      <c r="I543" s="2" t="s">
        <v>364</v>
      </c>
      <c r="J543" s="3" t="s">
        <v>95</v>
      </c>
      <c r="K543" s="2" t="s">
        <v>353</v>
      </c>
      <c r="L543" s="2"/>
      <c r="M543" s="2" t="s">
        <v>354</v>
      </c>
      <c r="N543" s="2">
        <v>-12783</v>
      </c>
      <c r="P543" s="2" t="s">
        <v>365</v>
      </c>
      <c r="Q543" s="2" t="s">
        <v>366</v>
      </c>
    </row>
    <row r="544" spans="1:17" x14ac:dyDescent="0.2">
      <c r="A544" s="2" t="s">
        <v>346</v>
      </c>
      <c r="B544" s="2" t="s">
        <v>347</v>
      </c>
      <c r="D544" s="2" t="s">
        <v>348</v>
      </c>
      <c r="E544" s="2" t="s">
        <v>349</v>
      </c>
      <c r="F544" s="3">
        <v>46087.429782488427</v>
      </c>
      <c r="G544" s="2" t="s">
        <v>362</v>
      </c>
      <c r="H544" s="2" t="s">
        <v>363</v>
      </c>
      <c r="I544" s="2" t="s">
        <v>364</v>
      </c>
      <c r="J544" s="3" t="s">
        <v>95</v>
      </c>
      <c r="K544" s="2" t="s">
        <v>353</v>
      </c>
      <c r="L544" s="2"/>
      <c r="M544" s="2" t="s">
        <v>354</v>
      </c>
      <c r="N544" s="2">
        <v>-16838</v>
      </c>
      <c r="P544" s="2" t="s">
        <v>365</v>
      </c>
      <c r="Q544" s="2" t="s">
        <v>366</v>
      </c>
    </row>
    <row r="545" spans="1:17" x14ac:dyDescent="0.2">
      <c r="A545" s="2" t="s">
        <v>346</v>
      </c>
      <c r="B545" s="2" t="s">
        <v>347</v>
      </c>
      <c r="D545" s="2" t="s">
        <v>348</v>
      </c>
      <c r="E545" s="2" t="s">
        <v>349</v>
      </c>
      <c r="F545" s="3">
        <v>46087.429922013886</v>
      </c>
      <c r="G545" s="2" t="s">
        <v>362</v>
      </c>
      <c r="H545" s="2" t="s">
        <v>363</v>
      </c>
      <c r="I545" s="2" t="s">
        <v>364</v>
      </c>
      <c r="J545" s="3" t="s">
        <v>95</v>
      </c>
      <c r="K545" s="2" t="s">
        <v>353</v>
      </c>
      <c r="L545" s="2"/>
      <c r="M545" s="2" t="s">
        <v>354</v>
      </c>
      <c r="N545" s="2">
        <v>25863</v>
      </c>
      <c r="P545" s="2" t="s">
        <v>365</v>
      </c>
      <c r="Q545" s="2" t="s">
        <v>366</v>
      </c>
    </row>
    <row r="546" spans="1:17" x14ac:dyDescent="0.2">
      <c r="A546" s="2" t="s">
        <v>346</v>
      </c>
      <c r="B546" s="2" t="s">
        <v>347</v>
      </c>
      <c r="D546" s="2" t="s">
        <v>348</v>
      </c>
      <c r="E546" s="2" t="s">
        <v>349</v>
      </c>
      <c r="F546" s="3">
        <v>46087.429957048611</v>
      </c>
      <c r="G546" s="2" t="s">
        <v>362</v>
      </c>
      <c r="H546" s="2" t="s">
        <v>363</v>
      </c>
      <c r="I546" s="2" t="s">
        <v>364</v>
      </c>
      <c r="J546" s="3" t="s">
        <v>95</v>
      </c>
      <c r="K546" s="2" t="s">
        <v>353</v>
      </c>
      <c r="L546" s="2"/>
      <c r="M546" s="2" t="s">
        <v>354</v>
      </c>
      <c r="N546" s="2">
        <v>-10485</v>
      </c>
      <c r="P546" s="2" t="s">
        <v>365</v>
      </c>
      <c r="Q546" s="2" t="s">
        <v>366</v>
      </c>
    </row>
    <row r="547" spans="1:17" x14ac:dyDescent="0.2">
      <c r="A547" s="2" t="s">
        <v>346</v>
      </c>
      <c r="B547" s="2" t="s">
        <v>347</v>
      </c>
      <c r="D547" s="2" t="s">
        <v>348</v>
      </c>
      <c r="E547" s="2" t="s">
        <v>349</v>
      </c>
      <c r="F547" s="3">
        <v>46087.430073240743</v>
      </c>
      <c r="G547" s="2" t="s">
        <v>362</v>
      </c>
      <c r="H547" s="2" t="s">
        <v>363</v>
      </c>
      <c r="I547" s="2" t="s">
        <v>364</v>
      </c>
      <c r="J547" s="3" t="s">
        <v>95</v>
      </c>
      <c r="K547" s="2" t="s">
        <v>353</v>
      </c>
      <c r="L547" s="2"/>
      <c r="M547" s="2" t="s">
        <v>354</v>
      </c>
      <c r="N547" s="2">
        <v>24150</v>
      </c>
      <c r="P547" s="2" t="s">
        <v>365</v>
      </c>
      <c r="Q547" s="2" t="s">
        <v>366</v>
      </c>
    </row>
    <row r="548" spans="1:17" x14ac:dyDescent="0.2">
      <c r="A548" s="2" t="s">
        <v>346</v>
      </c>
      <c r="B548" s="2" t="s">
        <v>347</v>
      </c>
      <c r="D548" s="2" t="s">
        <v>348</v>
      </c>
      <c r="E548" s="2" t="s">
        <v>349</v>
      </c>
      <c r="F548" s="3">
        <v>46087.430410520836</v>
      </c>
      <c r="G548" s="2" t="s">
        <v>362</v>
      </c>
      <c r="H548" s="2" t="s">
        <v>363</v>
      </c>
      <c r="I548" s="2" t="s">
        <v>364</v>
      </c>
      <c r="J548" s="3" t="s">
        <v>95</v>
      </c>
      <c r="K548" s="2" t="s">
        <v>353</v>
      </c>
      <c r="L548" s="2"/>
      <c r="M548" s="2" t="s">
        <v>354</v>
      </c>
      <c r="N548" s="2">
        <v>-13275</v>
      </c>
      <c r="P548" s="2" t="s">
        <v>365</v>
      </c>
      <c r="Q548" s="2" t="s">
        <v>366</v>
      </c>
    </row>
    <row r="549" spans="1:17" x14ac:dyDescent="0.2">
      <c r="A549" s="2" t="s">
        <v>346</v>
      </c>
      <c r="B549" s="2" t="s">
        <v>347</v>
      </c>
      <c r="D549" s="2" t="s">
        <v>348</v>
      </c>
      <c r="E549" s="2" t="s">
        <v>349</v>
      </c>
      <c r="F549" s="3">
        <v>46087.430422141202</v>
      </c>
      <c r="G549" s="2" t="s">
        <v>362</v>
      </c>
      <c r="H549" s="2" t="s">
        <v>363</v>
      </c>
      <c r="I549" s="2" t="s">
        <v>364</v>
      </c>
      <c r="J549" s="3" t="s">
        <v>95</v>
      </c>
      <c r="K549" s="2" t="s">
        <v>353</v>
      </c>
      <c r="L549" s="2"/>
      <c r="M549" s="2" t="s">
        <v>354</v>
      </c>
      <c r="N549" s="2">
        <v>-41418</v>
      </c>
      <c r="P549" s="2" t="s">
        <v>365</v>
      </c>
      <c r="Q549" s="2" t="s">
        <v>366</v>
      </c>
    </row>
    <row r="550" spans="1:17" x14ac:dyDescent="0.2">
      <c r="A550" s="2" t="s">
        <v>346</v>
      </c>
      <c r="B550" s="2" t="s">
        <v>347</v>
      </c>
      <c r="D550" s="2" t="s">
        <v>348</v>
      </c>
      <c r="E550" s="2" t="s">
        <v>349</v>
      </c>
      <c r="F550" s="3">
        <v>46087.43045699074</v>
      </c>
      <c r="G550" s="2" t="s">
        <v>362</v>
      </c>
      <c r="H550" s="2" t="s">
        <v>363</v>
      </c>
      <c r="I550" s="2" t="s">
        <v>364</v>
      </c>
      <c r="J550" s="3" t="s">
        <v>95</v>
      </c>
      <c r="K550" s="2" t="s">
        <v>353</v>
      </c>
      <c r="L550" s="2"/>
      <c r="M550" s="2" t="s">
        <v>354</v>
      </c>
      <c r="N550" s="2">
        <v>4779</v>
      </c>
      <c r="P550" s="2" t="s">
        <v>365</v>
      </c>
      <c r="Q550" s="2" t="s">
        <v>366</v>
      </c>
    </row>
    <row r="551" spans="1:17" x14ac:dyDescent="0.2">
      <c r="A551" s="2" t="s">
        <v>346</v>
      </c>
      <c r="B551" s="2" t="s">
        <v>347</v>
      </c>
      <c r="D551" s="2" t="s">
        <v>348</v>
      </c>
      <c r="E551" s="2" t="s">
        <v>349</v>
      </c>
      <c r="F551" s="3">
        <v>46087.430619525461</v>
      </c>
      <c r="G551" s="2" t="s">
        <v>362</v>
      </c>
      <c r="H551" s="2" t="s">
        <v>363</v>
      </c>
      <c r="I551" s="2" t="s">
        <v>364</v>
      </c>
      <c r="J551" s="3" t="s">
        <v>95</v>
      </c>
      <c r="K551" s="2" t="s">
        <v>353</v>
      </c>
      <c r="L551" s="2"/>
      <c r="M551" s="2" t="s">
        <v>354</v>
      </c>
      <c r="N551" s="2">
        <v>16169</v>
      </c>
      <c r="P551" s="2" t="s">
        <v>365</v>
      </c>
      <c r="Q551" s="2" t="s">
        <v>366</v>
      </c>
    </row>
    <row r="552" spans="1:17" x14ac:dyDescent="0.2">
      <c r="A552" s="2" t="s">
        <v>346</v>
      </c>
      <c r="B552" s="2" t="s">
        <v>347</v>
      </c>
      <c r="D552" s="2" t="s">
        <v>348</v>
      </c>
      <c r="E552" s="2" t="s">
        <v>349</v>
      </c>
      <c r="F552" s="3">
        <v>46087.430654699077</v>
      </c>
      <c r="G552" s="2" t="s">
        <v>362</v>
      </c>
      <c r="H552" s="2" t="s">
        <v>363</v>
      </c>
      <c r="I552" s="2" t="s">
        <v>364</v>
      </c>
      <c r="J552" s="3" t="s">
        <v>95</v>
      </c>
      <c r="K552" s="2" t="s">
        <v>353</v>
      </c>
      <c r="L552" s="2"/>
      <c r="M552" s="2" t="s">
        <v>354</v>
      </c>
      <c r="N552" s="2">
        <v>-41124</v>
      </c>
      <c r="P552" s="2" t="s">
        <v>365</v>
      </c>
      <c r="Q552" s="2" t="s">
        <v>366</v>
      </c>
    </row>
    <row r="553" spans="1:17" x14ac:dyDescent="0.2">
      <c r="A553" s="2" t="s">
        <v>346</v>
      </c>
      <c r="B553" s="2" t="s">
        <v>347</v>
      </c>
      <c r="D553" s="2" t="s">
        <v>348</v>
      </c>
      <c r="E553" s="2" t="s">
        <v>349</v>
      </c>
      <c r="F553" s="3">
        <v>46087.430689513887</v>
      </c>
      <c r="G553" s="2" t="s">
        <v>362</v>
      </c>
      <c r="H553" s="2" t="s">
        <v>363</v>
      </c>
      <c r="I553" s="2" t="s">
        <v>364</v>
      </c>
      <c r="J553" s="3" t="s">
        <v>95</v>
      </c>
      <c r="K553" s="2" t="s">
        <v>353</v>
      </c>
      <c r="L553" s="2"/>
      <c r="M553" s="2" t="s">
        <v>354</v>
      </c>
      <c r="N553" s="2">
        <v>21917</v>
      </c>
      <c r="P553" s="2" t="s">
        <v>365</v>
      </c>
      <c r="Q553" s="2" t="s">
        <v>366</v>
      </c>
    </row>
    <row r="554" spans="1:17" x14ac:dyDescent="0.2">
      <c r="A554" s="2" t="s">
        <v>346</v>
      </c>
      <c r="B554" s="2" t="s">
        <v>347</v>
      </c>
      <c r="D554" s="2" t="s">
        <v>348</v>
      </c>
      <c r="E554" s="2" t="s">
        <v>349</v>
      </c>
      <c r="F554" s="3">
        <v>46087.43104239583</v>
      </c>
      <c r="G554" s="2" t="s">
        <v>350</v>
      </c>
      <c r="H554" s="2" t="s">
        <v>351</v>
      </c>
      <c r="I554" s="2" t="s">
        <v>352</v>
      </c>
      <c r="J554" s="3" t="s">
        <v>95</v>
      </c>
      <c r="K554" s="2" t="s">
        <v>353</v>
      </c>
      <c r="L554" s="2"/>
      <c r="M554" s="2" t="s">
        <v>354</v>
      </c>
      <c r="N554" s="2">
        <v>52.805</v>
      </c>
      <c r="P554" s="2" t="s">
        <v>355</v>
      </c>
      <c r="Q554" s="2" t="s">
        <v>356</v>
      </c>
    </row>
    <row r="555" spans="1:17" x14ac:dyDescent="0.2">
      <c r="A555" s="2" t="s">
        <v>346</v>
      </c>
      <c r="B555" s="2" t="s">
        <v>347</v>
      </c>
      <c r="D555" s="2" t="s">
        <v>348</v>
      </c>
      <c r="E555" s="2" t="s">
        <v>349</v>
      </c>
      <c r="F555" s="3">
        <v>46087.43108480324</v>
      </c>
      <c r="G555" s="2" t="s">
        <v>362</v>
      </c>
      <c r="H555" s="2" t="s">
        <v>363</v>
      </c>
      <c r="I555" s="2" t="s">
        <v>364</v>
      </c>
      <c r="J555" s="3" t="s">
        <v>95</v>
      </c>
      <c r="K555" s="2" t="s">
        <v>353</v>
      </c>
      <c r="L555" s="2"/>
      <c r="M555" s="2" t="s">
        <v>354</v>
      </c>
      <c r="N555" s="2">
        <v>38406</v>
      </c>
      <c r="P555" s="2" t="s">
        <v>365</v>
      </c>
      <c r="Q555" s="2" t="s">
        <v>366</v>
      </c>
    </row>
    <row r="556" spans="1:17" x14ac:dyDescent="0.2">
      <c r="A556" s="2" t="s">
        <v>346</v>
      </c>
      <c r="B556" s="2" t="s">
        <v>347</v>
      </c>
      <c r="D556" s="2" t="s">
        <v>348</v>
      </c>
      <c r="E556" s="2" t="s">
        <v>349</v>
      </c>
      <c r="F556" s="3">
        <v>46087.431108171295</v>
      </c>
      <c r="G556" s="2" t="s">
        <v>362</v>
      </c>
      <c r="H556" s="2" t="s">
        <v>363</v>
      </c>
      <c r="I556" s="2" t="s">
        <v>364</v>
      </c>
      <c r="J556" s="3" t="s">
        <v>95</v>
      </c>
      <c r="K556" s="2" t="s">
        <v>353</v>
      </c>
      <c r="L556" s="2"/>
      <c r="M556" s="2" t="s">
        <v>354</v>
      </c>
      <c r="N556" s="2">
        <v>-11401</v>
      </c>
      <c r="P556" s="2" t="s">
        <v>365</v>
      </c>
      <c r="Q556" s="2" t="s">
        <v>366</v>
      </c>
    </row>
    <row r="557" spans="1:17" x14ac:dyDescent="0.2">
      <c r="A557" s="2" t="s">
        <v>346</v>
      </c>
      <c r="B557" s="2" t="s">
        <v>347</v>
      </c>
      <c r="D557" s="2" t="s">
        <v>348</v>
      </c>
      <c r="E557" s="2" t="s">
        <v>349</v>
      </c>
      <c r="F557" s="3">
        <v>46087.431375555556</v>
      </c>
      <c r="G557" s="2" t="s">
        <v>362</v>
      </c>
      <c r="H557" s="2" t="s">
        <v>363</v>
      </c>
      <c r="I557" s="2" t="s">
        <v>364</v>
      </c>
      <c r="J557" s="3" t="s">
        <v>95</v>
      </c>
      <c r="K557" s="2" t="s">
        <v>353</v>
      </c>
      <c r="L557" s="2"/>
      <c r="M557" s="2" t="s">
        <v>354</v>
      </c>
      <c r="N557" s="2">
        <v>9490</v>
      </c>
      <c r="P557" s="2" t="s">
        <v>365</v>
      </c>
      <c r="Q557" s="2" t="s">
        <v>366</v>
      </c>
    </row>
    <row r="558" spans="1:17" x14ac:dyDescent="0.2">
      <c r="A558" s="2" t="s">
        <v>346</v>
      </c>
      <c r="B558" s="2" t="s">
        <v>347</v>
      </c>
      <c r="D558" s="2" t="s">
        <v>348</v>
      </c>
      <c r="E558" s="2" t="s">
        <v>349</v>
      </c>
      <c r="F558" s="3">
        <v>46087.431433599537</v>
      </c>
      <c r="G558" s="2" t="s">
        <v>362</v>
      </c>
      <c r="H558" s="2" t="s">
        <v>363</v>
      </c>
      <c r="I558" s="2" t="s">
        <v>364</v>
      </c>
      <c r="J558" s="3" t="s">
        <v>95</v>
      </c>
      <c r="K558" s="2" t="s">
        <v>353</v>
      </c>
      <c r="L558" s="2"/>
      <c r="M558" s="2" t="s">
        <v>354</v>
      </c>
      <c r="N558" s="2">
        <v>-37294</v>
      </c>
      <c r="P558" s="2" t="s">
        <v>365</v>
      </c>
      <c r="Q558" s="2" t="s">
        <v>366</v>
      </c>
    </row>
    <row r="559" spans="1:17" x14ac:dyDescent="0.2">
      <c r="A559" s="2" t="s">
        <v>346</v>
      </c>
      <c r="B559" s="2" t="s">
        <v>347</v>
      </c>
      <c r="D559" s="2" t="s">
        <v>348</v>
      </c>
      <c r="E559" s="2" t="s">
        <v>349</v>
      </c>
      <c r="F559" s="3">
        <v>46087.431456979168</v>
      </c>
      <c r="G559" s="2" t="s">
        <v>362</v>
      </c>
      <c r="H559" s="2" t="s">
        <v>363</v>
      </c>
      <c r="I559" s="2" t="s">
        <v>364</v>
      </c>
      <c r="J559" s="3" t="s">
        <v>95</v>
      </c>
      <c r="K559" s="2" t="s">
        <v>353</v>
      </c>
      <c r="L559" s="2"/>
      <c r="M559" s="2" t="s">
        <v>354</v>
      </c>
      <c r="N559" s="2">
        <v>1770</v>
      </c>
      <c r="P559" s="2" t="s">
        <v>365</v>
      </c>
      <c r="Q559" s="2" t="s">
        <v>366</v>
      </c>
    </row>
    <row r="560" spans="1:17" x14ac:dyDescent="0.2">
      <c r="A560" s="2" t="s">
        <v>346</v>
      </c>
      <c r="B560" s="2" t="s">
        <v>347</v>
      </c>
      <c r="D560" s="2" t="s">
        <v>348</v>
      </c>
      <c r="E560" s="2" t="s">
        <v>349</v>
      </c>
      <c r="F560" s="3">
        <v>46087.431654456021</v>
      </c>
      <c r="G560" s="2" t="s">
        <v>362</v>
      </c>
      <c r="H560" s="2" t="s">
        <v>363</v>
      </c>
      <c r="I560" s="2" t="s">
        <v>364</v>
      </c>
      <c r="J560" s="3" t="s">
        <v>95</v>
      </c>
      <c r="K560" s="2" t="s">
        <v>353</v>
      </c>
      <c r="L560" s="2"/>
      <c r="M560" s="2" t="s">
        <v>354</v>
      </c>
      <c r="N560" s="2">
        <v>39903</v>
      </c>
      <c r="P560" s="2" t="s">
        <v>365</v>
      </c>
      <c r="Q560" s="2" t="s">
        <v>366</v>
      </c>
    </row>
    <row r="561" spans="1:17" x14ac:dyDescent="0.2">
      <c r="A561" s="2" t="s">
        <v>346</v>
      </c>
      <c r="B561" s="2" t="s">
        <v>347</v>
      </c>
      <c r="D561" s="2" t="s">
        <v>348</v>
      </c>
      <c r="E561" s="2" t="s">
        <v>349</v>
      </c>
      <c r="F561" s="3">
        <v>46087.431677743058</v>
      </c>
      <c r="G561" s="2" t="s">
        <v>362</v>
      </c>
      <c r="H561" s="2" t="s">
        <v>363</v>
      </c>
      <c r="I561" s="2" t="s">
        <v>364</v>
      </c>
      <c r="J561" s="3" t="s">
        <v>95</v>
      </c>
      <c r="K561" s="2" t="s">
        <v>353</v>
      </c>
      <c r="L561" s="2"/>
      <c r="M561" s="2" t="s">
        <v>354</v>
      </c>
      <c r="N561" s="2">
        <v>-15246</v>
      </c>
      <c r="P561" s="2" t="s">
        <v>365</v>
      </c>
      <c r="Q561" s="2" t="s">
        <v>366</v>
      </c>
    </row>
  </sheetData>
  <pageMargins left="0.75" right="0.75" top="1" bottom="1" header="0.5" footer="0.5"/>
  <pageSetup fitToHeight="100" orientation="landscape" horizontalDpi="300" verticalDpi="30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4"/>
  <sheetViews>
    <sheetView showGridLines="0" tabSelected="1" workbookViewId="0">
      <pane ySplit="11" topLeftCell="A12" activePane="bottomLeft" state="frozen"/>
      <selection pane="bottomLeft"/>
    </sheetView>
  </sheetViews>
  <sheetFormatPr defaultColWidth="9.140625" defaultRowHeight="16.5" x14ac:dyDescent="0.3"/>
  <cols>
    <col min="1" max="2" width="25.42578125" style="8" customWidth="1"/>
    <col min="3" max="3" width="23.85546875" style="8" customWidth="1"/>
    <col min="4" max="4" width="30.140625" style="8" customWidth="1"/>
    <col min="5" max="5" width="18.42578125" style="8" bestFit="1" customWidth="1"/>
    <col min="6" max="6" width="21.42578125" style="8" bestFit="1" customWidth="1"/>
    <col min="7" max="7" width="14.85546875" style="8" bestFit="1" customWidth="1"/>
    <col min="8" max="16384" width="9.140625" style="8"/>
  </cols>
  <sheetData>
    <row r="1" spans="1:7" s="19" customFormat="1" ht="25.5" customHeight="1" x14ac:dyDescent="0.45">
      <c r="A1" s="18" t="s">
        <v>52</v>
      </c>
      <c r="C1" s="20">
        <f>Data!B2</f>
        <v>46091.357220196762</v>
      </c>
    </row>
    <row r="2" spans="1:7" ht="25.5" customHeight="1" x14ac:dyDescent="0.5">
      <c r="A2" s="23" t="str">
        <f>Data!B1</f>
        <v>Escuela de Ingenieria Electrica UCR</v>
      </c>
    </row>
    <row r="3" spans="1:7" ht="17.25" customHeight="1" x14ac:dyDescent="0.3">
      <c r="A3" s="28"/>
      <c r="C3" s="16"/>
    </row>
    <row r="4" spans="1:7" ht="17.45" customHeight="1" x14ac:dyDescent="0.3">
      <c r="A4" s="38" t="s">
        <v>34</v>
      </c>
      <c r="B4" s="38"/>
      <c r="C4" s="16"/>
    </row>
    <row r="5" spans="1:7" ht="17.45" customHeight="1" x14ac:dyDescent="0.3">
      <c r="A5" s="29" t="s">
        <v>136</v>
      </c>
      <c r="B5" s="30">
        <f>Data!B3</f>
        <v>46087</v>
      </c>
      <c r="C5" s="16"/>
    </row>
    <row r="6" spans="1:7" ht="17.45" customHeight="1" x14ac:dyDescent="0.3">
      <c r="A6" s="29" t="s">
        <v>140</v>
      </c>
      <c r="B6" s="30">
        <f>Data!B4</f>
        <v>46087.433321759258</v>
      </c>
      <c r="C6" s="16"/>
    </row>
    <row r="7" spans="1:7" ht="17.45" customHeight="1" x14ac:dyDescent="0.3">
      <c r="A7" s="29" t="s">
        <v>197</v>
      </c>
      <c r="B7" s="31">
        <f>B6-B5</f>
        <v>0.43332175925752381</v>
      </c>
      <c r="C7" s="16"/>
    </row>
    <row r="8" spans="1:7" ht="17.45" customHeight="1" x14ac:dyDescent="0.3">
      <c r="A8" s="32"/>
      <c r="B8" s="33"/>
      <c r="C8" s="16"/>
    </row>
    <row r="9" spans="1:7" ht="17.45" customHeight="1" x14ac:dyDescent="0.3">
      <c r="A9" s="27" t="s">
        <v>114</v>
      </c>
      <c r="B9" s="30" t="str">
        <f>Data!B5</f>
        <v>America/Costa_Rica</v>
      </c>
      <c r="C9" s="17"/>
    </row>
    <row r="10" spans="1:7" ht="17.45" customHeight="1" x14ac:dyDescent="0.3"/>
    <row r="11" spans="1:7" s="15" customFormat="1" ht="17.45" customHeight="1" x14ac:dyDescent="0.3">
      <c r="A11" s="14" t="s">
        <v>27</v>
      </c>
      <c r="B11" s="14" t="s">
        <v>31</v>
      </c>
      <c r="C11" s="14" t="s">
        <v>34</v>
      </c>
      <c r="D11" s="14" t="s">
        <v>37</v>
      </c>
      <c r="E11" s="14" t="s">
        <v>40</v>
      </c>
      <c r="F11" s="14" t="s">
        <v>44</v>
      </c>
      <c r="G11" s="14" t="s">
        <v>48</v>
      </c>
    </row>
    <row r="12" spans="1:7" x14ac:dyDescent="0.3">
      <c r="A12" s="11" t="str">
        <f>Data!A10</f>
        <v>NISSAN LEAF 299-1018</v>
      </c>
      <c r="B12" s="11" t="str">
        <f>Data!D10</f>
        <v>Vehicle, Battery Electric Vehicle</v>
      </c>
      <c r="C12" s="12">
        <f>Data!F10</f>
        <v>46087.291260578706</v>
      </c>
      <c r="D12" s="11" t="str">
        <f>Data!G10</f>
        <v>Estado de carga genérico</v>
      </c>
      <c r="E12" s="11" t="str">
        <f>Data!J10</f>
        <v>Telematics Device</v>
      </c>
      <c r="F12" s="13">
        <f>Data!L10</f>
        <v>0</v>
      </c>
      <c r="G12" s="11" t="str">
        <f>CONCATENATE(Data!N10," ",Data!P10)</f>
        <v>78.66 %</v>
      </c>
    </row>
    <row r="13" spans="1:7" x14ac:dyDescent="0.3">
      <c r="A13" s="11" t="str">
        <f>Data!A11</f>
        <v>NISSAN LEAF 299-1018</v>
      </c>
      <c r="B13" s="11" t="str">
        <f>Data!D11</f>
        <v>Vehicle, Battery Electric Vehicle</v>
      </c>
      <c r="C13" s="12">
        <f>Data!F11</f>
        <v>46087.29126121528</v>
      </c>
      <c r="D13" s="11" t="str">
        <f>Data!G11</f>
        <v>Voltaje de la batería de alta tensión</v>
      </c>
      <c r="E13" s="11" t="str">
        <f>Data!J11</f>
        <v>Telematics Device</v>
      </c>
      <c r="F13" s="13">
        <f>Data!L11</f>
        <v>0</v>
      </c>
      <c r="G13" s="11" t="str">
        <f>CONCATENATE(Data!N11," ",Data!P11)</f>
        <v>376 V</v>
      </c>
    </row>
    <row r="14" spans="1:7" x14ac:dyDescent="0.3">
      <c r="A14" s="11" t="str">
        <f>Data!A12</f>
        <v>NISSAN LEAF 299-1018</v>
      </c>
      <c r="B14" s="11" t="str">
        <f>Data!D12</f>
        <v>Vehicle, Battery Electric Vehicle</v>
      </c>
      <c r="C14" s="12">
        <f>Data!F12</f>
        <v>46087.291261805556</v>
      </c>
      <c r="D14" s="11" t="str">
        <f>Data!G12</f>
        <v>Energía de la batería del vehículo eléctrico</v>
      </c>
      <c r="E14" s="11" t="str">
        <f>Data!J12</f>
        <v>Telematics Device</v>
      </c>
      <c r="F14" s="13">
        <f>Data!L12</f>
        <v>0</v>
      </c>
      <c r="G14" s="11" t="str">
        <f>CONCATENATE(Data!N12," ",Data!P12)</f>
        <v>564 W</v>
      </c>
    </row>
    <row r="15" spans="1:7" x14ac:dyDescent="0.3">
      <c r="A15" s="11" t="str">
        <f>Data!A13</f>
        <v>NISSAN LEAF 299-1018</v>
      </c>
      <c r="B15" s="11" t="str">
        <f>Data!D13</f>
        <v>Vehicle, Battery Electric Vehicle</v>
      </c>
      <c r="C15" s="12">
        <f>Data!F13</f>
        <v>46087.29288144676</v>
      </c>
      <c r="D15" s="11" t="str">
        <f>Data!G13</f>
        <v>Estado de carga genérico</v>
      </c>
      <c r="E15" s="11" t="str">
        <f>Data!J13</f>
        <v>Telematics Device</v>
      </c>
      <c r="F15" s="13">
        <f>Data!L13</f>
        <v>0</v>
      </c>
      <c r="G15" s="11" t="str">
        <f>CONCATENATE(Data!N13," ",Data!P13)</f>
        <v>78.66 %</v>
      </c>
    </row>
    <row r="16" spans="1:7" x14ac:dyDescent="0.3">
      <c r="A16" s="11" t="str">
        <f>Data!A14</f>
        <v>NISSAN LEAF 299-1018</v>
      </c>
      <c r="B16" s="11" t="str">
        <f>Data!D14</f>
        <v>Vehicle, Battery Electric Vehicle</v>
      </c>
      <c r="C16" s="12">
        <f>Data!F14</f>
        <v>46087.292972187497</v>
      </c>
      <c r="D16" s="11" t="str">
        <f>Data!G14</f>
        <v>Voltaje de la batería de alta tensión</v>
      </c>
      <c r="E16" s="11" t="str">
        <f>Data!J14</f>
        <v>Telematics Device</v>
      </c>
      <c r="F16" s="13">
        <f>Data!L14</f>
        <v>0</v>
      </c>
      <c r="G16" s="11" t="str">
        <f>CONCATENATE(Data!N14," ",Data!P14)</f>
        <v>376 V</v>
      </c>
    </row>
    <row r="17" spans="1:7" x14ac:dyDescent="0.3">
      <c r="A17" s="11" t="str">
        <f>Data!A15</f>
        <v>NISSAN LEAF 299-1018</v>
      </c>
      <c r="B17" s="11" t="str">
        <f>Data!D15</f>
        <v>Vehicle, Battery Electric Vehicle</v>
      </c>
      <c r="C17" s="12">
        <f>Data!F15</f>
        <v>46087.292972824071</v>
      </c>
      <c r="D17" s="11" t="str">
        <f>Data!G15</f>
        <v>Energía de la batería del vehículo eléctrico</v>
      </c>
      <c r="E17" s="11" t="str">
        <f>Data!J15</f>
        <v>Telematics Device</v>
      </c>
      <c r="F17" s="13">
        <f>Data!L15</f>
        <v>0</v>
      </c>
      <c r="G17" s="11" t="str">
        <f>CONCATENATE(Data!N15," ",Data!P15)</f>
        <v>188 W</v>
      </c>
    </row>
    <row r="18" spans="1:7" x14ac:dyDescent="0.3">
      <c r="A18" s="11" t="str">
        <f>Data!A16</f>
        <v>NISSAN LEAF 299-1018</v>
      </c>
      <c r="B18" s="11" t="str">
        <f>Data!D16</f>
        <v>Vehicle, Battery Electric Vehicle</v>
      </c>
      <c r="C18" s="12">
        <f>Data!F16</f>
        <v>46087.297998182868</v>
      </c>
      <c r="D18" s="11" t="str">
        <f>Data!G16</f>
        <v>Estado de carga genérico</v>
      </c>
      <c r="E18" s="11" t="str">
        <f>Data!J16</f>
        <v>Telematics Device</v>
      </c>
      <c r="F18" s="13">
        <f>Data!L16</f>
        <v>0</v>
      </c>
      <c r="G18" s="11" t="str">
        <f>CONCATENATE(Data!N16," ",Data!P16)</f>
        <v>78.66 %</v>
      </c>
    </row>
    <row r="19" spans="1:7" x14ac:dyDescent="0.3">
      <c r="A19" s="11" t="str">
        <f>Data!A17</f>
        <v>NISSAN LEAF 299-1018</v>
      </c>
      <c r="B19" s="11" t="str">
        <f>Data!D17</f>
        <v>Vehicle, Battery Electric Vehicle</v>
      </c>
      <c r="C19" s="12">
        <f>Data!F17</f>
        <v>46087.297998993054</v>
      </c>
      <c r="D19" s="11" t="str">
        <f>Data!G17</f>
        <v>Voltaje de la batería de alta tensión</v>
      </c>
      <c r="E19" s="11" t="str">
        <f>Data!J17</f>
        <v>Telematics Device</v>
      </c>
      <c r="F19" s="13">
        <f>Data!L17</f>
        <v>0</v>
      </c>
      <c r="G19" s="11" t="str">
        <f>CONCATENATE(Data!N17," ",Data!P17)</f>
        <v>376 V</v>
      </c>
    </row>
    <row r="20" spans="1:7" x14ac:dyDescent="0.3">
      <c r="A20" s="11" t="str">
        <f>Data!A18</f>
        <v>NISSAN LEAF 299-1018</v>
      </c>
      <c r="B20" s="11" t="str">
        <f>Data!D18</f>
        <v>Vehicle, Battery Electric Vehicle</v>
      </c>
      <c r="C20" s="12">
        <f>Data!F18</f>
        <v>46087.298000034723</v>
      </c>
      <c r="D20" s="11" t="str">
        <f>Data!G18</f>
        <v>Energía de la batería del vehículo eléctrico</v>
      </c>
      <c r="E20" s="11" t="str">
        <f>Data!J18</f>
        <v>Telematics Device</v>
      </c>
      <c r="F20" s="13">
        <f>Data!L18</f>
        <v>0</v>
      </c>
      <c r="G20" s="11" t="str">
        <f>CONCATENATE(Data!N18," ",Data!P18)</f>
        <v>376 W</v>
      </c>
    </row>
    <row r="21" spans="1:7" x14ac:dyDescent="0.3">
      <c r="A21" s="11" t="str">
        <f>Data!A19</f>
        <v>NISSAN LEAF 299-1018</v>
      </c>
      <c r="B21" s="11" t="str">
        <f>Data!D19</f>
        <v>Vehicle, Battery Electric Vehicle</v>
      </c>
      <c r="C21" s="12">
        <f>Data!F19</f>
        <v>46087.298838344905</v>
      </c>
      <c r="D21" s="11" t="str">
        <f>Data!G19</f>
        <v>Energía de la batería del vehículo eléctrico</v>
      </c>
      <c r="E21" s="11" t="str">
        <f>Data!J19</f>
        <v>Telematics Device</v>
      </c>
      <c r="F21" s="13">
        <f>Data!L19</f>
        <v>0</v>
      </c>
      <c r="G21" s="11" t="str">
        <f>CONCATENATE(Data!N19," ",Data!P19)</f>
        <v>22134 W</v>
      </c>
    </row>
    <row r="22" spans="1:7" x14ac:dyDescent="0.3">
      <c r="A22" s="11" t="str">
        <f>Data!A20</f>
        <v>NISSAN LEAF 299-1018</v>
      </c>
      <c r="B22" s="11" t="str">
        <f>Data!D20</f>
        <v>Vehicle, Battery Electric Vehicle</v>
      </c>
      <c r="C22" s="12">
        <f>Data!F20</f>
        <v>46087.29891972222</v>
      </c>
      <c r="D22" s="11" t="str">
        <f>Data!G20</f>
        <v>Energía de la batería del vehículo eléctrico</v>
      </c>
      <c r="E22" s="11" t="str">
        <f>Data!J20</f>
        <v>Telematics Device</v>
      </c>
      <c r="F22" s="13">
        <f>Data!L20</f>
        <v>0</v>
      </c>
      <c r="G22" s="11" t="str">
        <f>CONCATENATE(Data!N20," ",Data!P20)</f>
        <v>-26320 W</v>
      </c>
    </row>
    <row r="23" spans="1:7" x14ac:dyDescent="0.3">
      <c r="A23" s="11" t="str">
        <f>Data!A21</f>
        <v>NISSAN LEAF 299-1018</v>
      </c>
      <c r="B23" s="11" t="str">
        <f>Data!D21</f>
        <v>Vehicle, Battery Electric Vehicle</v>
      </c>
      <c r="C23" s="12">
        <f>Data!F21</f>
        <v>46087.299001018517</v>
      </c>
      <c r="D23" s="11" t="str">
        <f>Data!G21</f>
        <v>Energía de la batería del vehículo eléctrico</v>
      </c>
      <c r="E23" s="11" t="str">
        <f>Data!J21</f>
        <v>Telematics Device</v>
      </c>
      <c r="F23" s="13">
        <f>Data!L21</f>
        <v>0</v>
      </c>
      <c r="G23" s="11" t="str">
        <f>CONCATENATE(Data!N21," ",Data!P21)</f>
        <v>19183 W</v>
      </c>
    </row>
    <row r="24" spans="1:7" x14ac:dyDescent="0.3">
      <c r="A24" s="11" t="str">
        <f>Data!A22</f>
        <v>NISSAN LEAF 299-1018</v>
      </c>
      <c r="B24" s="11" t="str">
        <f>Data!D22</f>
        <v>Vehicle, Battery Electric Vehicle</v>
      </c>
      <c r="C24" s="12">
        <f>Data!F22</f>
        <v>46087.299071631947</v>
      </c>
      <c r="D24" s="11" t="str">
        <f>Data!G22</f>
        <v>Energía de la batería del vehículo eléctrico</v>
      </c>
      <c r="E24" s="11" t="str">
        <f>Data!J22</f>
        <v>Telematics Device</v>
      </c>
      <c r="F24" s="13">
        <f>Data!L22</f>
        <v>0</v>
      </c>
      <c r="G24" s="11" t="str">
        <f>CONCATENATE(Data!N22," ",Data!P22)</f>
        <v>-23027 W</v>
      </c>
    </row>
    <row r="25" spans="1:7" x14ac:dyDescent="0.3">
      <c r="A25" s="11" t="str">
        <f>Data!A23</f>
        <v>NISSAN LEAF 299-1018</v>
      </c>
      <c r="B25" s="11" t="str">
        <f>Data!D23</f>
        <v>Vehicle, Battery Electric Vehicle</v>
      </c>
      <c r="C25" s="12">
        <f>Data!F23</f>
        <v>46087.299240405089</v>
      </c>
      <c r="D25" s="11" t="str">
        <f>Data!G23</f>
        <v>Energía de la batería del vehículo eléctrico</v>
      </c>
      <c r="E25" s="11" t="str">
        <f>Data!J23</f>
        <v>Telematics Device</v>
      </c>
      <c r="F25" s="13">
        <f>Data!L23</f>
        <v>0</v>
      </c>
      <c r="G25" s="11" t="str">
        <f>CONCATENATE(Data!N23," ",Data!P23)</f>
        <v>-29585 W</v>
      </c>
    </row>
    <row r="26" spans="1:7" x14ac:dyDescent="0.3">
      <c r="A26" s="11" t="str">
        <f>Data!A24</f>
        <v>NISSAN LEAF 299-1018</v>
      </c>
      <c r="B26" s="11" t="str">
        <f>Data!D24</f>
        <v>Vehicle, Battery Electric Vehicle</v>
      </c>
      <c r="C26" s="12">
        <f>Data!F24</f>
        <v>46087.299287881942</v>
      </c>
      <c r="D26" s="11" t="str">
        <f>Data!G24</f>
        <v>Energía de la batería del vehículo eléctrico</v>
      </c>
      <c r="E26" s="11" t="str">
        <f>Data!J24</f>
        <v>Telematics Device</v>
      </c>
      <c r="F26" s="13">
        <f>Data!L24</f>
        <v>0</v>
      </c>
      <c r="G26" s="11" t="str">
        <f>CONCATENATE(Data!N24," ",Data!P24)</f>
        <v>0 W</v>
      </c>
    </row>
    <row r="27" spans="1:7" x14ac:dyDescent="0.3">
      <c r="A27" s="11" t="str">
        <f>Data!A25</f>
        <v>NISSAN LEAF 299-1018</v>
      </c>
      <c r="B27" s="11" t="str">
        <f>Data!D25</f>
        <v>Vehicle, Battery Electric Vehicle</v>
      </c>
      <c r="C27" s="12">
        <f>Data!F25</f>
        <v>46087.299742569441</v>
      </c>
      <c r="D27" s="11" t="str">
        <f>Data!G25</f>
        <v>Energía de la batería del vehículo eléctrico</v>
      </c>
      <c r="E27" s="11" t="str">
        <f>Data!J25</f>
        <v>Telematics Device</v>
      </c>
      <c r="F27" s="13">
        <f>Data!L25</f>
        <v>0</v>
      </c>
      <c r="G27" s="11" t="str">
        <f>CONCATENATE(Data!N25," ",Data!P25)</f>
        <v>20673 W</v>
      </c>
    </row>
    <row r="28" spans="1:7" x14ac:dyDescent="0.3">
      <c r="A28" s="11" t="str">
        <f>Data!A26</f>
        <v>NISSAN LEAF 299-1018</v>
      </c>
      <c r="B28" s="11" t="str">
        <f>Data!D26</f>
        <v>Vehicle, Battery Electric Vehicle</v>
      </c>
      <c r="C28" s="12">
        <f>Data!F26</f>
        <v>46087.299848182869</v>
      </c>
      <c r="D28" s="11" t="str">
        <f>Data!G26</f>
        <v>Energía de la batería del vehículo eléctrico</v>
      </c>
      <c r="E28" s="11" t="str">
        <f>Data!J26</f>
        <v>Telematics Device</v>
      </c>
      <c r="F28" s="13">
        <f>Data!L26</f>
        <v>0</v>
      </c>
      <c r="G28" s="11" t="str">
        <f>CONCATENATE(Data!N26," ",Data!P26)</f>
        <v>-31563 W</v>
      </c>
    </row>
    <row r="29" spans="1:7" x14ac:dyDescent="0.3">
      <c r="A29" s="11" t="str">
        <f>Data!A27</f>
        <v>NISSAN LEAF 299-1018</v>
      </c>
      <c r="B29" s="11" t="str">
        <f>Data!D27</f>
        <v>Vehicle, Battery Electric Vehicle</v>
      </c>
      <c r="C29" s="12">
        <f>Data!F27</f>
        <v>46087.299894571763</v>
      </c>
      <c r="D29" s="11" t="str">
        <f>Data!G27</f>
        <v>Energía de la batería del vehículo eléctrico</v>
      </c>
      <c r="E29" s="11" t="str">
        <f>Data!J27</f>
        <v>Telematics Device</v>
      </c>
      <c r="F29" s="13">
        <f>Data!L27</f>
        <v>0</v>
      </c>
      <c r="G29" s="11" t="str">
        <f>CONCATENATE(Data!N27," ",Data!P27)</f>
        <v>24000 W</v>
      </c>
    </row>
    <row r="30" spans="1:7" x14ac:dyDescent="0.3">
      <c r="A30" s="11" t="str">
        <f>Data!A28</f>
        <v>NISSAN LEAF 299-1018</v>
      </c>
      <c r="B30" s="11" t="str">
        <f>Data!D28</f>
        <v>Vehicle, Battery Electric Vehicle</v>
      </c>
      <c r="C30" s="12">
        <f>Data!F28</f>
        <v>46087.299987662038</v>
      </c>
      <c r="D30" s="11" t="str">
        <f>Data!G28</f>
        <v>Energía de la batería del vehículo eléctrico</v>
      </c>
      <c r="E30" s="11" t="str">
        <f>Data!J28</f>
        <v>Telematics Device</v>
      </c>
      <c r="F30" s="13">
        <f>Data!L28</f>
        <v>0</v>
      </c>
      <c r="G30" s="11" t="str">
        <f>CONCATENATE(Data!N28," ",Data!P28)</f>
        <v>-16875 W</v>
      </c>
    </row>
    <row r="31" spans="1:7" x14ac:dyDescent="0.3">
      <c r="A31" s="11" t="str">
        <f>Data!A29</f>
        <v>NISSAN LEAF 299-1018</v>
      </c>
      <c r="B31" s="11" t="str">
        <f>Data!D29</f>
        <v>Vehicle, Battery Electric Vehicle</v>
      </c>
      <c r="C31" s="12">
        <f>Data!F29</f>
        <v>46087.300034085645</v>
      </c>
      <c r="D31" s="11" t="str">
        <f>Data!G29</f>
        <v>Energía de la batería del vehículo eléctrico</v>
      </c>
      <c r="E31" s="11" t="str">
        <f>Data!J29</f>
        <v>Telematics Device</v>
      </c>
      <c r="F31" s="13">
        <f>Data!L29</f>
        <v>0</v>
      </c>
      <c r="G31" s="11" t="str">
        <f>CONCATENATE(Data!N29," ",Data!P29)</f>
        <v>19396 W</v>
      </c>
    </row>
    <row r="32" spans="1:7" x14ac:dyDescent="0.3">
      <c r="A32" s="11" t="str">
        <f>Data!A30</f>
        <v>NISSAN LEAF 299-1018</v>
      </c>
      <c r="B32" s="11" t="str">
        <f>Data!D30</f>
        <v>Vehicle, Battery Electric Vehicle</v>
      </c>
      <c r="C32" s="12">
        <f>Data!F30</f>
        <v>46087.300185138891</v>
      </c>
      <c r="D32" s="11" t="str">
        <f>Data!G30</f>
        <v>Energía de la batería del vehículo eléctrico</v>
      </c>
      <c r="E32" s="11" t="str">
        <f>Data!J30</f>
        <v>Telematics Device</v>
      </c>
      <c r="F32" s="13">
        <f>Data!L30</f>
        <v>0</v>
      </c>
      <c r="G32" s="11" t="str">
        <f>CONCATENATE(Data!N30," ",Data!P30)</f>
        <v>-749 W</v>
      </c>
    </row>
    <row r="33" spans="1:7" x14ac:dyDescent="0.3">
      <c r="A33" s="11" t="str">
        <f>Data!A31</f>
        <v>NISSAN LEAF 299-1018</v>
      </c>
      <c r="B33" s="11" t="str">
        <f>Data!D31</f>
        <v>Vehicle, Battery Electric Vehicle</v>
      </c>
      <c r="C33" s="12">
        <f>Data!F31</f>
        <v>46087.300266469909</v>
      </c>
      <c r="D33" s="11" t="str">
        <f>Data!G31</f>
        <v>Energía de la batería del vehículo eléctrico</v>
      </c>
      <c r="E33" s="11" t="str">
        <f>Data!J31</f>
        <v>Telematics Device</v>
      </c>
      <c r="F33" s="13">
        <f>Data!L31</f>
        <v>0</v>
      </c>
      <c r="G33" s="11" t="str">
        <f>CONCATENATE(Data!N31," ",Data!P31)</f>
        <v>32560 W</v>
      </c>
    </row>
    <row r="34" spans="1:7" x14ac:dyDescent="0.3">
      <c r="A34" s="11" t="str">
        <f>Data!A32</f>
        <v>NISSAN LEAF 299-1018</v>
      </c>
      <c r="B34" s="11" t="str">
        <f>Data!D32</f>
        <v>Vehicle, Battery Electric Vehicle</v>
      </c>
      <c r="C34" s="12">
        <f>Data!F32</f>
        <v>46087.300278414354</v>
      </c>
      <c r="D34" s="11" t="str">
        <f>Data!G32</f>
        <v>Energía de la batería del vehículo eléctrico</v>
      </c>
      <c r="E34" s="11" t="str">
        <f>Data!J32</f>
        <v>Telematics Device</v>
      </c>
      <c r="F34" s="13">
        <f>Data!L32</f>
        <v>0</v>
      </c>
      <c r="G34" s="11" t="str">
        <f>CONCATENATE(Data!N32," ",Data!P32)</f>
        <v>2586 W</v>
      </c>
    </row>
    <row r="35" spans="1:7" x14ac:dyDescent="0.3">
      <c r="A35" s="11" t="str">
        <f>Data!A33</f>
        <v>NISSAN LEAF 299-1018</v>
      </c>
      <c r="B35" s="11" t="str">
        <f>Data!D33</f>
        <v>Vehicle, Battery Electric Vehicle</v>
      </c>
      <c r="C35" s="12">
        <f>Data!F33</f>
        <v>46087.301742708332</v>
      </c>
      <c r="D35" s="11" t="str">
        <f>Data!G33</f>
        <v>Energía de la batería del vehículo eléctrico</v>
      </c>
      <c r="E35" s="11" t="str">
        <f>Data!J33</f>
        <v>Telematics Device</v>
      </c>
      <c r="F35" s="13">
        <f>Data!L33</f>
        <v>0</v>
      </c>
      <c r="G35" s="11" t="str">
        <f>CONCATENATE(Data!N33," ",Data!P33)</f>
        <v>-370 W</v>
      </c>
    </row>
    <row r="36" spans="1:7" x14ac:dyDescent="0.3">
      <c r="A36" s="11" t="str">
        <f>Data!A34</f>
        <v>NISSAN LEAF 299-1018</v>
      </c>
      <c r="B36" s="11" t="str">
        <f>Data!D34</f>
        <v>Vehicle, Battery Electric Vehicle</v>
      </c>
      <c r="C36" s="12">
        <f>Data!F34</f>
        <v>46087.301824178241</v>
      </c>
      <c r="D36" s="11" t="str">
        <f>Data!G34</f>
        <v>Energía de la batería del vehículo eléctrico</v>
      </c>
      <c r="E36" s="11" t="str">
        <f>Data!J34</f>
        <v>Telematics Device</v>
      </c>
      <c r="F36" s="13">
        <f>Data!L34</f>
        <v>0</v>
      </c>
      <c r="G36" s="11" t="str">
        <f>CONCATENATE(Data!N34," ",Data!P34)</f>
        <v>33394 W</v>
      </c>
    </row>
    <row r="37" spans="1:7" x14ac:dyDescent="0.3">
      <c r="A37" s="11" t="str">
        <f>Data!A35</f>
        <v>NISSAN LEAF 299-1018</v>
      </c>
      <c r="B37" s="11" t="str">
        <f>Data!D35</f>
        <v>Vehicle, Battery Electric Vehicle</v>
      </c>
      <c r="C37" s="12">
        <f>Data!F35</f>
        <v>46087.301893900461</v>
      </c>
      <c r="D37" s="11" t="str">
        <f>Data!G35</f>
        <v>Energía de la batería del vehículo eléctrico</v>
      </c>
      <c r="E37" s="11" t="str">
        <f>Data!J35</f>
        <v>Telematics Device</v>
      </c>
      <c r="F37" s="13">
        <f>Data!L35</f>
        <v>0</v>
      </c>
      <c r="G37" s="11" t="str">
        <f>CONCATENATE(Data!N35," ",Data!P35)</f>
        <v>-18090 W</v>
      </c>
    </row>
    <row r="38" spans="1:7" x14ac:dyDescent="0.3">
      <c r="A38" s="11" t="str">
        <f>Data!A36</f>
        <v>NISSAN LEAF 299-1018</v>
      </c>
      <c r="B38" s="11" t="str">
        <f>Data!D36</f>
        <v>Vehicle, Battery Electric Vehicle</v>
      </c>
      <c r="C38" s="12">
        <f>Data!F36</f>
        <v>46087.301975324073</v>
      </c>
      <c r="D38" s="11" t="str">
        <f>Data!G36</f>
        <v>Energía de la batería del vehículo eléctrico</v>
      </c>
      <c r="E38" s="11" t="str">
        <f>Data!J36</f>
        <v>Telematics Device</v>
      </c>
      <c r="F38" s="13">
        <f>Data!L36</f>
        <v>0</v>
      </c>
      <c r="G38" s="11" t="str">
        <f>CONCATENATE(Data!N36," ",Data!P36)</f>
        <v>29190 W</v>
      </c>
    </row>
    <row r="39" spans="1:7" x14ac:dyDescent="0.3">
      <c r="A39" s="11" t="str">
        <f>Data!A37</f>
        <v>NISSAN LEAF 299-1018</v>
      </c>
      <c r="B39" s="11" t="str">
        <f>Data!D37</f>
        <v>Vehicle, Battery Electric Vehicle</v>
      </c>
      <c r="C39" s="12">
        <f>Data!F37</f>
        <v>46087.30202185185</v>
      </c>
      <c r="D39" s="11" t="str">
        <f>Data!G37</f>
        <v>Energía de la batería del vehículo eléctrico</v>
      </c>
      <c r="E39" s="11" t="str">
        <f>Data!J37</f>
        <v>Telematics Device</v>
      </c>
      <c r="F39" s="13">
        <f>Data!L37</f>
        <v>0</v>
      </c>
      <c r="G39" s="11" t="str">
        <f>CONCATENATE(Data!N37," ",Data!P37)</f>
        <v>-33428 W</v>
      </c>
    </row>
    <row r="40" spans="1:7" x14ac:dyDescent="0.3">
      <c r="A40" s="11" t="str">
        <f>Data!A38</f>
        <v>NISSAN LEAF 299-1018</v>
      </c>
      <c r="B40" s="11" t="str">
        <f>Data!D38</f>
        <v>Vehicle, Battery Electric Vehicle</v>
      </c>
      <c r="C40" s="12">
        <f>Data!F38</f>
        <v>46087.302045081022</v>
      </c>
      <c r="D40" s="11" t="str">
        <f>Data!G38</f>
        <v>Energía de la batería del vehículo eléctrico</v>
      </c>
      <c r="E40" s="11" t="str">
        <f>Data!J38</f>
        <v>Telematics Device</v>
      </c>
      <c r="F40" s="13">
        <f>Data!L38</f>
        <v>0</v>
      </c>
      <c r="G40" s="11" t="str">
        <f>CONCATENATE(Data!N38," ",Data!P38)</f>
        <v>-564 W</v>
      </c>
    </row>
    <row r="41" spans="1:7" x14ac:dyDescent="0.3">
      <c r="A41" s="11" t="str">
        <f>Data!A39</f>
        <v>NISSAN LEAF 299-1018</v>
      </c>
      <c r="B41" s="11" t="str">
        <f>Data!D39</f>
        <v>Vehicle, Battery Electric Vehicle</v>
      </c>
      <c r="C41" s="12">
        <f>Data!F39</f>
        <v>46087.302196087963</v>
      </c>
      <c r="D41" s="11" t="str">
        <f>Data!G39</f>
        <v>Energía de la batería del vehículo eléctrico</v>
      </c>
      <c r="E41" s="11" t="str">
        <f>Data!J39</f>
        <v>Telematics Device</v>
      </c>
      <c r="F41" s="13">
        <f>Data!L39</f>
        <v>0</v>
      </c>
      <c r="G41" s="11" t="str">
        <f>CONCATENATE(Data!N39," ",Data!P39)</f>
        <v>13950 W</v>
      </c>
    </row>
    <row r="42" spans="1:7" x14ac:dyDescent="0.3">
      <c r="A42" s="11" t="str">
        <f>Data!A40</f>
        <v>NISSAN LEAF 299-1018</v>
      </c>
      <c r="B42" s="11" t="str">
        <f>Data!D40</f>
        <v>Vehicle, Battery Electric Vehicle</v>
      </c>
      <c r="C42" s="12">
        <f>Data!F40</f>
        <v>46087.302219467594</v>
      </c>
      <c r="D42" s="11" t="str">
        <f>Data!G40</f>
        <v>Energía de la batería del vehículo eléctrico</v>
      </c>
      <c r="E42" s="11" t="str">
        <f>Data!J40</f>
        <v>Telematics Device</v>
      </c>
      <c r="F42" s="13">
        <f>Data!L40</f>
        <v>0</v>
      </c>
      <c r="G42" s="11" t="str">
        <f>CONCATENATE(Data!N40," ",Data!P40)</f>
        <v>-29427 W</v>
      </c>
    </row>
    <row r="43" spans="1:7" x14ac:dyDescent="0.3">
      <c r="A43" s="11" t="str">
        <f>Data!A41</f>
        <v>NISSAN LEAF 299-1018</v>
      </c>
      <c r="B43" s="11" t="str">
        <f>Data!D41</f>
        <v>Vehicle, Battery Electric Vehicle</v>
      </c>
      <c r="C43" s="12">
        <f>Data!F41</f>
        <v>46087.302324131946</v>
      </c>
      <c r="D43" s="11" t="str">
        <f>Data!G41</f>
        <v>Energía de la batería del vehículo eléctrico</v>
      </c>
      <c r="E43" s="11" t="str">
        <f>Data!J41</f>
        <v>Telematics Device</v>
      </c>
      <c r="F43" s="13">
        <f>Data!L41</f>
        <v>0</v>
      </c>
      <c r="G43" s="11" t="str">
        <f>CONCATENATE(Data!N41," ",Data!P41)</f>
        <v>18042 W</v>
      </c>
    </row>
    <row r="44" spans="1:7" x14ac:dyDescent="0.3">
      <c r="A44" s="11" t="str">
        <f>Data!A42</f>
        <v>NISSAN LEAF 299-1018</v>
      </c>
      <c r="B44" s="11" t="str">
        <f>Data!D42</f>
        <v>Vehicle, Battery Electric Vehicle</v>
      </c>
      <c r="C44" s="12">
        <f>Data!F42</f>
        <v>46087.302637939814</v>
      </c>
      <c r="D44" s="11" t="str">
        <f>Data!G42</f>
        <v>Energía de la batería del vehículo eléctrico</v>
      </c>
      <c r="E44" s="11" t="str">
        <f>Data!J42</f>
        <v>Telematics Device</v>
      </c>
      <c r="F44" s="13">
        <f>Data!L42</f>
        <v>0</v>
      </c>
      <c r="G44" s="11" t="str">
        <f>CONCATENATE(Data!N42," ",Data!P42)</f>
        <v>-20542 W</v>
      </c>
    </row>
    <row r="45" spans="1:7" x14ac:dyDescent="0.3">
      <c r="A45" s="11" t="str">
        <f>Data!A43</f>
        <v>NISSAN LEAF 299-1018</v>
      </c>
      <c r="B45" s="11" t="str">
        <f>Data!D43</f>
        <v>Vehicle, Battery Electric Vehicle</v>
      </c>
      <c r="C45" s="12">
        <f>Data!F43</f>
        <v>46087.302651550926</v>
      </c>
      <c r="D45" s="11" t="str">
        <f>Data!G43</f>
        <v>Estado de carga genérico</v>
      </c>
      <c r="E45" s="11" t="str">
        <f>Data!J43</f>
        <v>Telematics Device</v>
      </c>
      <c r="F45" s="13">
        <f>Data!L43</f>
        <v>0</v>
      </c>
      <c r="G45" s="11" t="str">
        <f>CONCATENATE(Data!N43," ",Data!P43)</f>
        <v>77.56 %</v>
      </c>
    </row>
    <row r="46" spans="1:7" x14ac:dyDescent="0.3">
      <c r="A46" s="11" t="str">
        <f>Data!A44</f>
        <v>NISSAN LEAF 299-1018</v>
      </c>
      <c r="B46" s="11" t="str">
        <f>Data!D44</f>
        <v>Vehicle, Battery Electric Vehicle</v>
      </c>
      <c r="C46" s="12">
        <f>Data!F44</f>
        <v>46087.302661226851</v>
      </c>
      <c r="D46" s="11" t="str">
        <f>Data!G44</f>
        <v>Energía de la batería del vehículo eléctrico</v>
      </c>
      <c r="E46" s="11" t="str">
        <f>Data!J44</f>
        <v>Telematics Device</v>
      </c>
      <c r="F46" s="13">
        <f>Data!L44</f>
        <v>0</v>
      </c>
      <c r="G46" s="11" t="str">
        <f>CONCATENATE(Data!N44," ",Data!P44)</f>
        <v>12885 W</v>
      </c>
    </row>
    <row r="47" spans="1:7" x14ac:dyDescent="0.3">
      <c r="A47" s="11" t="str">
        <f>Data!A45</f>
        <v>NISSAN LEAF 299-1018</v>
      </c>
      <c r="B47" s="11" t="str">
        <f>Data!D45</f>
        <v>Vehicle, Battery Electric Vehicle</v>
      </c>
      <c r="C47" s="12">
        <f>Data!F45</f>
        <v>46087.302893784719</v>
      </c>
      <c r="D47" s="11" t="str">
        <f>Data!G45</f>
        <v>Energía de la batería del vehículo eléctrico</v>
      </c>
      <c r="E47" s="11" t="str">
        <f>Data!J45</f>
        <v>Telematics Device</v>
      </c>
      <c r="F47" s="13">
        <f>Data!L45</f>
        <v>0</v>
      </c>
      <c r="G47" s="11" t="str">
        <f>CONCATENATE(Data!N45," ",Data!P45)</f>
        <v>30668 W</v>
      </c>
    </row>
    <row r="48" spans="1:7" x14ac:dyDescent="0.3">
      <c r="A48" s="11" t="str">
        <f>Data!A46</f>
        <v>NISSAN LEAF 299-1018</v>
      </c>
      <c r="B48" s="11" t="str">
        <f>Data!D46</f>
        <v>Vehicle, Battery Electric Vehicle</v>
      </c>
      <c r="C48" s="12">
        <f>Data!F46</f>
        <v>46087.302951979167</v>
      </c>
      <c r="D48" s="11" t="str">
        <f>Data!G46</f>
        <v>Energía de la batería del vehículo eléctrico</v>
      </c>
      <c r="E48" s="11" t="str">
        <f>Data!J46</f>
        <v>Telematics Device</v>
      </c>
      <c r="F48" s="13">
        <f>Data!L46</f>
        <v>0</v>
      </c>
      <c r="G48" s="11" t="str">
        <f>CONCATENATE(Data!N46," ",Data!P46)</f>
        <v>-7843 W</v>
      </c>
    </row>
    <row r="49" spans="1:7" x14ac:dyDescent="0.3">
      <c r="A49" s="11" t="str">
        <f>Data!A47</f>
        <v>NISSAN LEAF 299-1018</v>
      </c>
      <c r="B49" s="11" t="str">
        <f>Data!D47</f>
        <v>Vehicle, Battery Electric Vehicle</v>
      </c>
      <c r="C49" s="12">
        <f>Data!F47</f>
        <v>46087.302998368054</v>
      </c>
      <c r="D49" s="11" t="str">
        <f>Data!G47</f>
        <v>Energía de la batería del vehículo eléctrico</v>
      </c>
      <c r="E49" s="11" t="str">
        <f>Data!J47</f>
        <v>Telematics Device</v>
      </c>
      <c r="F49" s="13">
        <f>Data!L47</f>
        <v>0</v>
      </c>
      <c r="G49" s="11" t="str">
        <f>CONCATENATE(Data!N47," ",Data!P47)</f>
        <v>25228 W</v>
      </c>
    </row>
    <row r="50" spans="1:7" x14ac:dyDescent="0.3">
      <c r="A50" s="11" t="str">
        <f>Data!A48</f>
        <v>NISSAN LEAF 299-1018</v>
      </c>
      <c r="B50" s="11" t="str">
        <f>Data!D48</f>
        <v>Vehicle, Battery Electric Vehicle</v>
      </c>
      <c r="C50" s="12">
        <f>Data!F48</f>
        <v>46087.303056817131</v>
      </c>
      <c r="D50" s="11" t="str">
        <f>Data!G48</f>
        <v>Energía de la batería del vehículo eléctrico</v>
      </c>
      <c r="E50" s="11" t="str">
        <f>Data!J48</f>
        <v>Telematics Device</v>
      </c>
      <c r="F50" s="13">
        <f>Data!L48</f>
        <v>0</v>
      </c>
      <c r="G50" s="11" t="str">
        <f>CONCATENATE(Data!N48," ",Data!P48)</f>
        <v>-6891 W</v>
      </c>
    </row>
    <row r="51" spans="1:7" x14ac:dyDescent="0.3">
      <c r="A51" s="11" t="str">
        <f>Data!A49</f>
        <v>NISSAN LEAF 299-1018</v>
      </c>
      <c r="B51" s="11" t="str">
        <f>Data!D49</f>
        <v>Vehicle, Battery Electric Vehicle</v>
      </c>
      <c r="C51" s="12">
        <f>Data!F49</f>
        <v>46087.303219988426</v>
      </c>
      <c r="D51" s="11" t="str">
        <f>Data!G49</f>
        <v>Energía de la batería del vehículo eléctrico</v>
      </c>
      <c r="E51" s="11" t="str">
        <f>Data!J49</f>
        <v>Telematics Device</v>
      </c>
      <c r="F51" s="13">
        <f>Data!L49</f>
        <v>0</v>
      </c>
      <c r="G51" s="11" t="str">
        <f>CONCATENATE(Data!N49," ",Data!P49)</f>
        <v>23341 W</v>
      </c>
    </row>
    <row r="52" spans="1:7" x14ac:dyDescent="0.3">
      <c r="A52" s="11" t="str">
        <f>Data!A50</f>
        <v>NISSAN LEAF 299-1018</v>
      </c>
      <c r="B52" s="11" t="str">
        <f>Data!D50</f>
        <v>Vehicle, Battery Electric Vehicle</v>
      </c>
      <c r="C52" s="12">
        <f>Data!F50</f>
        <v>46087.305311782409</v>
      </c>
      <c r="D52" s="11" t="str">
        <f>Data!G50</f>
        <v>Energía de la batería del vehículo eléctrico</v>
      </c>
      <c r="E52" s="11" t="str">
        <f>Data!J50</f>
        <v>Telematics Device</v>
      </c>
      <c r="F52" s="13">
        <f>Data!L50</f>
        <v>0</v>
      </c>
      <c r="G52" s="11" t="str">
        <f>CONCATENATE(Data!N50," ",Data!P50)</f>
        <v>-8030 W</v>
      </c>
    </row>
    <row r="53" spans="1:7" x14ac:dyDescent="0.3">
      <c r="A53" s="11" t="str">
        <f>Data!A51</f>
        <v>NISSAN LEAF 299-1018</v>
      </c>
      <c r="B53" s="11" t="str">
        <f>Data!D51</f>
        <v>Vehicle, Battery Electric Vehicle</v>
      </c>
      <c r="C53" s="12">
        <f>Data!F51</f>
        <v>46087.305392974537</v>
      </c>
      <c r="D53" s="11" t="str">
        <f>Data!G51</f>
        <v>Energía de la batería del vehículo eléctrico</v>
      </c>
      <c r="E53" s="11" t="str">
        <f>Data!J51</f>
        <v>Telematics Device</v>
      </c>
      <c r="F53" s="13">
        <f>Data!L51</f>
        <v>0</v>
      </c>
      <c r="G53" s="11" t="str">
        <f>CONCATENATE(Data!N51," ",Data!P51)</f>
        <v>19902 W</v>
      </c>
    </row>
    <row r="54" spans="1:7" x14ac:dyDescent="0.3">
      <c r="A54" s="11" t="str">
        <f>Data!A52</f>
        <v>NISSAN LEAF 299-1018</v>
      </c>
      <c r="B54" s="11" t="str">
        <f>Data!D52</f>
        <v>Vehicle, Battery Electric Vehicle</v>
      </c>
      <c r="C54" s="12">
        <f>Data!F52</f>
        <v>46087.305567581017</v>
      </c>
      <c r="D54" s="11" t="str">
        <f>Data!G52</f>
        <v>Energía de la batería del vehículo eléctrico</v>
      </c>
      <c r="E54" s="11" t="str">
        <f>Data!J52</f>
        <v>Telematics Device</v>
      </c>
      <c r="F54" s="13">
        <f>Data!L52</f>
        <v>0</v>
      </c>
      <c r="G54" s="11" t="str">
        <f>CONCATENATE(Data!N52," ",Data!P52)</f>
        <v>-1671 W</v>
      </c>
    </row>
    <row r="55" spans="1:7" x14ac:dyDescent="0.3">
      <c r="A55" s="11" t="str">
        <f>Data!A53</f>
        <v>NISSAN LEAF 299-1018</v>
      </c>
      <c r="B55" s="11" t="str">
        <f>Data!D53</f>
        <v>Vehicle, Battery Electric Vehicle</v>
      </c>
      <c r="C55" s="12">
        <f>Data!F53</f>
        <v>46087.305602395834</v>
      </c>
      <c r="D55" s="11" t="str">
        <f>Data!G53</f>
        <v>Energía de la batería del vehículo eléctrico</v>
      </c>
      <c r="E55" s="11" t="str">
        <f>Data!J53</f>
        <v>Telematics Device</v>
      </c>
      <c r="F55" s="13">
        <f>Data!L53</f>
        <v>0</v>
      </c>
      <c r="G55" s="11" t="str">
        <f>CONCATENATE(Data!N53," ",Data!P53)</f>
        <v>27527 W</v>
      </c>
    </row>
    <row r="56" spans="1:7" x14ac:dyDescent="0.3">
      <c r="A56" s="11" t="str">
        <f>Data!A54</f>
        <v>NISSAN LEAF 299-1018</v>
      </c>
      <c r="B56" s="11" t="str">
        <f>Data!D54</f>
        <v>Vehicle, Battery Electric Vehicle</v>
      </c>
      <c r="C56" s="12">
        <f>Data!F54</f>
        <v>46087.30564864583</v>
      </c>
      <c r="D56" s="11" t="str">
        <f>Data!G54</f>
        <v>Energía de la batería del vehículo eléctrico</v>
      </c>
      <c r="E56" s="11" t="str">
        <f>Data!J54</f>
        <v>Telematics Device</v>
      </c>
      <c r="F56" s="13">
        <f>Data!L54</f>
        <v>0</v>
      </c>
      <c r="G56" s="11" t="str">
        <f>CONCATENATE(Data!N54," ",Data!P54)</f>
        <v>-12090 W</v>
      </c>
    </row>
    <row r="57" spans="1:7" x14ac:dyDescent="0.3">
      <c r="A57" s="11" t="str">
        <f>Data!A55</f>
        <v>NISSAN LEAF 299-1018</v>
      </c>
      <c r="B57" s="11" t="str">
        <f>Data!D55</f>
        <v>Vehicle, Battery Electric Vehicle</v>
      </c>
      <c r="C57" s="12">
        <f>Data!F55</f>
        <v>46087.305718680553</v>
      </c>
      <c r="D57" s="11" t="str">
        <f>Data!G55</f>
        <v>Energía de la batería del vehículo eléctrico</v>
      </c>
      <c r="E57" s="11" t="str">
        <f>Data!J55</f>
        <v>Telematics Device</v>
      </c>
      <c r="F57" s="13">
        <f>Data!L55</f>
        <v>0</v>
      </c>
      <c r="G57" s="11" t="str">
        <f>CONCATENATE(Data!N55," ",Data!P55)</f>
        <v>24840 W</v>
      </c>
    </row>
    <row r="58" spans="1:7" x14ac:dyDescent="0.3">
      <c r="A58" s="11" t="str">
        <f>Data!A56</f>
        <v>NISSAN LEAF 299-1018</v>
      </c>
      <c r="B58" s="11" t="str">
        <f>Data!D56</f>
        <v>Vehicle, Battery Electric Vehicle</v>
      </c>
      <c r="C58" s="12">
        <f>Data!F56</f>
        <v>46087.305776724534</v>
      </c>
      <c r="D58" s="11" t="str">
        <f>Data!G56</f>
        <v>Energía de la batería del vehículo eléctrico</v>
      </c>
      <c r="E58" s="11" t="str">
        <f>Data!J56</f>
        <v>Telematics Device</v>
      </c>
      <c r="F58" s="13">
        <f>Data!L56</f>
        <v>0</v>
      </c>
      <c r="G58" s="11" t="str">
        <f>CONCATENATE(Data!N56," ",Data!P56)</f>
        <v>-18228 W</v>
      </c>
    </row>
    <row r="59" spans="1:7" x14ac:dyDescent="0.3">
      <c r="A59" s="11" t="str">
        <f>Data!A57</f>
        <v>NISSAN LEAF 299-1018</v>
      </c>
      <c r="B59" s="11" t="str">
        <f>Data!D57</f>
        <v>Vehicle, Battery Electric Vehicle</v>
      </c>
      <c r="C59" s="12">
        <f>Data!F57</f>
        <v>46087.305858113425</v>
      </c>
      <c r="D59" s="11" t="str">
        <f>Data!G57</f>
        <v>Energía de la batería del vehículo eléctrico</v>
      </c>
      <c r="E59" s="11" t="str">
        <f>Data!J57</f>
        <v>Telematics Device</v>
      </c>
      <c r="F59" s="13">
        <f>Data!L57</f>
        <v>0</v>
      </c>
      <c r="G59" s="11" t="str">
        <f>CONCATENATE(Data!N57," ",Data!P57)</f>
        <v>24638 W</v>
      </c>
    </row>
    <row r="60" spans="1:7" x14ac:dyDescent="0.3">
      <c r="A60" s="11" t="str">
        <f>Data!A58</f>
        <v>NISSAN LEAF 299-1018</v>
      </c>
      <c r="B60" s="11" t="str">
        <f>Data!D58</f>
        <v>Vehicle, Battery Electric Vehicle</v>
      </c>
      <c r="C60" s="12">
        <f>Data!F58</f>
        <v>46087.30592791667</v>
      </c>
      <c r="D60" s="11" t="str">
        <f>Data!G58</f>
        <v>Energía de la batería del vehículo eléctrico</v>
      </c>
      <c r="E60" s="11" t="str">
        <f>Data!J58</f>
        <v>Telematics Device</v>
      </c>
      <c r="F60" s="13">
        <f>Data!L58</f>
        <v>0</v>
      </c>
      <c r="G60" s="11" t="str">
        <f>CONCATENATE(Data!N58," ",Data!P58)</f>
        <v>-23436 W</v>
      </c>
    </row>
    <row r="61" spans="1:7" x14ac:dyDescent="0.3">
      <c r="A61" s="11" t="str">
        <f>Data!A59</f>
        <v>NISSAN LEAF 299-1018</v>
      </c>
      <c r="B61" s="11" t="str">
        <f>Data!D59</f>
        <v>Vehicle, Battery Electric Vehicle</v>
      </c>
      <c r="C61" s="12">
        <f>Data!F59</f>
        <v>46087.306055636574</v>
      </c>
      <c r="D61" s="11" t="str">
        <f>Data!G59</f>
        <v>Energía de la batería del vehículo eléctrico</v>
      </c>
      <c r="E61" s="11" t="str">
        <f>Data!J59</f>
        <v>Telematics Device</v>
      </c>
      <c r="F61" s="13">
        <f>Data!L59</f>
        <v>0</v>
      </c>
      <c r="G61" s="11" t="str">
        <f>CONCATENATE(Data!N59," ",Data!P59)</f>
        <v>18438 W</v>
      </c>
    </row>
    <row r="62" spans="1:7" x14ac:dyDescent="0.3">
      <c r="A62" s="11" t="str">
        <f>Data!A60</f>
        <v>NISSAN LEAF 299-1018</v>
      </c>
      <c r="B62" s="11" t="str">
        <f>Data!D60</f>
        <v>Vehicle, Battery Electric Vehicle</v>
      </c>
      <c r="C62" s="12">
        <f>Data!F60</f>
        <v>46087.306114363426</v>
      </c>
      <c r="D62" s="11" t="str">
        <f>Data!G60</f>
        <v>Energía de la batería del vehículo eléctrico</v>
      </c>
      <c r="E62" s="11" t="str">
        <f>Data!J60</f>
        <v>Telematics Device</v>
      </c>
      <c r="F62" s="13">
        <f>Data!L60</f>
        <v>0</v>
      </c>
      <c r="G62" s="11" t="str">
        <f>CONCATENATE(Data!N60," ",Data!P60)</f>
        <v>-22350 W</v>
      </c>
    </row>
    <row r="63" spans="1:7" x14ac:dyDescent="0.3">
      <c r="A63" s="11" t="str">
        <f>Data!A61</f>
        <v>NISSAN LEAF 299-1018</v>
      </c>
      <c r="B63" s="11" t="str">
        <f>Data!D61</f>
        <v>Vehicle, Battery Electric Vehicle</v>
      </c>
      <c r="C63" s="12">
        <f>Data!F61</f>
        <v>46087.306219664351</v>
      </c>
      <c r="D63" s="11" t="str">
        <f>Data!G61</f>
        <v>Energía de la batería del vehículo eléctrico</v>
      </c>
      <c r="E63" s="11" t="str">
        <f>Data!J61</f>
        <v>Telematics Device</v>
      </c>
      <c r="F63" s="13">
        <f>Data!L61</f>
        <v>0</v>
      </c>
      <c r="G63" s="11" t="str">
        <f>CONCATENATE(Data!N61," ",Data!P61)</f>
        <v>18735 W</v>
      </c>
    </row>
    <row r="64" spans="1:7" x14ac:dyDescent="0.3">
      <c r="A64" s="11" t="str">
        <f>Data!A62</f>
        <v>NISSAN LEAF 299-1018</v>
      </c>
      <c r="B64" s="11" t="str">
        <f>Data!D62</f>
        <v>Vehicle, Battery Electric Vehicle</v>
      </c>
      <c r="C64" s="12">
        <f>Data!F62</f>
        <v>46087.306289375003</v>
      </c>
      <c r="D64" s="11" t="str">
        <f>Data!G62</f>
        <v>Energía de la batería del vehículo eléctrico</v>
      </c>
      <c r="E64" s="11" t="str">
        <f>Data!J62</f>
        <v>Telematics Device</v>
      </c>
      <c r="F64" s="13">
        <f>Data!L62</f>
        <v>0</v>
      </c>
      <c r="G64" s="11" t="str">
        <f>CONCATENATE(Data!N62," ",Data!P62)</f>
        <v>-1117 W</v>
      </c>
    </row>
    <row r="65" spans="1:7" x14ac:dyDescent="0.3">
      <c r="A65" s="11" t="str">
        <f>Data!A63</f>
        <v>NISSAN LEAF 299-1018</v>
      </c>
      <c r="B65" s="11" t="str">
        <f>Data!D63</f>
        <v>Vehicle, Battery Electric Vehicle</v>
      </c>
      <c r="C65" s="12">
        <f>Data!F63</f>
        <v>46087.306475509256</v>
      </c>
      <c r="D65" s="11" t="str">
        <f>Data!G63</f>
        <v>Energía de la batería del vehículo eléctrico</v>
      </c>
      <c r="E65" s="11" t="str">
        <f>Data!J63</f>
        <v>Telematics Device</v>
      </c>
      <c r="F65" s="13">
        <f>Data!L63</f>
        <v>0</v>
      </c>
      <c r="G65" s="11" t="str">
        <f>CONCATENATE(Data!N63," ",Data!P63)</f>
        <v>38007 W</v>
      </c>
    </row>
    <row r="66" spans="1:7" x14ac:dyDescent="0.3">
      <c r="A66" s="11" t="str">
        <f>Data!A64</f>
        <v>NISSAN LEAF 299-1018</v>
      </c>
      <c r="B66" s="11" t="str">
        <f>Data!D64</f>
        <v>Vehicle, Battery Electric Vehicle</v>
      </c>
      <c r="C66" s="12">
        <f>Data!F64</f>
        <v>46087.30653361111</v>
      </c>
      <c r="D66" s="11" t="str">
        <f>Data!G64</f>
        <v>Energía de la batería del vehículo eléctrico</v>
      </c>
      <c r="E66" s="11" t="str">
        <f>Data!J64</f>
        <v>Telematics Device</v>
      </c>
      <c r="F66" s="13">
        <f>Data!L64</f>
        <v>0</v>
      </c>
      <c r="G66" s="11" t="str">
        <f>CONCATENATE(Data!N64," ",Data!P64)</f>
        <v>-369 W</v>
      </c>
    </row>
    <row r="67" spans="1:7" x14ac:dyDescent="0.3">
      <c r="A67" s="11" t="str">
        <f>Data!A65</f>
        <v>NISSAN LEAF 299-1018</v>
      </c>
      <c r="B67" s="11" t="str">
        <f>Data!D65</f>
        <v>Vehicle, Battery Electric Vehicle</v>
      </c>
      <c r="C67" s="12">
        <f>Data!F65</f>
        <v>46087.307522743053</v>
      </c>
      <c r="D67" s="11" t="str">
        <f>Data!G65</f>
        <v>Estado de carga genérico</v>
      </c>
      <c r="E67" s="11" t="str">
        <f>Data!J65</f>
        <v>Telematics Device</v>
      </c>
      <c r="F67" s="13">
        <f>Data!L65</f>
        <v>0</v>
      </c>
      <c r="G67" s="11" t="str">
        <f>CONCATENATE(Data!N65," ",Data!P65)</f>
        <v>76.585 %</v>
      </c>
    </row>
    <row r="68" spans="1:7" x14ac:dyDescent="0.3">
      <c r="A68" s="11" t="str">
        <f>Data!A66</f>
        <v>NISSAN LEAF 299-1018</v>
      </c>
      <c r="B68" s="11" t="str">
        <f>Data!D66</f>
        <v>Vehicle, Battery Electric Vehicle</v>
      </c>
      <c r="C68" s="12">
        <f>Data!F66</f>
        <v>46087.307695543983</v>
      </c>
      <c r="D68" s="11" t="str">
        <f>Data!G66</f>
        <v>Voltaje de la batería de alta tensión</v>
      </c>
      <c r="E68" s="11" t="str">
        <f>Data!J66</f>
        <v>Telematics Device</v>
      </c>
      <c r="F68" s="13">
        <f>Data!L66</f>
        <v>0</v>
      </c>
      <c r="G68" s="11" t="str">
        <f>CONCATENATE(Data!N66," ",Data!P66)</f>
        <v>372.5 V</v>
      </c>
    </row>
    <row r="69" spans="1:7" x14ac:dyDescent="0.3">
      <c r="A69" s="11" t="str">
        <f>Data!A67</f>
        <v>NISSAN LEAF 299-1018</v>
      </c>
      <c r="B69" s="11" t="str">
        <f>Data!D67</f>
        <v>Vehicle, Battery Electric Vehicle</v>
      </c>
      <c r="C69" s="12">
        <f>Data!F67</f>
        <v>46087.30769616898</v>
      </c>
      <c r="D69" s="11" t="str">
        <f>Data!G67</f>
        <v>Energía de la batería del vehículo eléctrico</v>
      </c>
      <c r="E69" s="11" t="str">
        <f>Data!J67</f>
        <v>Telematics Device</v>
      </c>
      <c r="F69" s="13">
        <f>Data!L67</f>
        <v>0</v>
      </c>
      <c r="G69" s="11" t="str">
        <f>CONCATENATE(Data!N67," ",Data!P67)</f>
        <v>186 W</v>
      </c>
    </row>
    <row r="70" spans="1:7" x14ac:dyDescent="0.3">
      <c r="A70" s="11" t="str">
        <f>Data!A68</f>
        <v>NISSAN LEAF 299-1018</v>
      </c>
      <c r="B70" s="11" t="str">
        <f>Data!D68</f>
        <v>Vehicle, Battery Electric Vehicle</v>
      </c>
      <c r="C70" s="12">
        <f>Data!F68</f>
        <v>46087.351957557868</v>
      </c>
      <c r="D70" s="11" t="str">
        <f>Data!G68</f>
        <v>Estado de carga genérico</v>
      </c>
      <c r="E70" s="11" t="str">
        <f>Data!J68</f>
        <v>Telematics Device</v>
      </c>
      <c r="F70" s="13">
        <f>Data!L68</f>
        <v>0</v>
      </c>
      <c r="G70" s="11" t="str">
        <f>CONCATENATE(Data!N68," ",Data!P68)</f>
        <v>76.585 %</v>
      </c>
    </row>
    <row r="71" spans="1:7" x14ac:dyDescent="0.3">
      <c r="A71" s="11" t="str">
        <f>Data!A69</f>
        <v>NISSAN LEAF 299-1018</v>
      </c>
      <c r="B71" s="11" t="str">
        <f>Data!D69</f>
        <v>Vehicle, Battery Electric Vehicle</v>
      </c>
      <c r="C71" s="12">
        <f>Data!F69</f>
        <v>46087.351958148145</v>
      </c>
      <c r="D71" s="11" t="str">
        <f>Data!G69</f>
        <v>Voltaje de la batería de alta tensión</v>
      </c>
      <c r="E71" s="11" t="str">
        <f>Data!J69</f>
        <v>Telematics Device</v>
      </c>
      <c r="F71" s="13">
        <f>Data!L69</f>
        <v>0</v>
      </c>
      <c r="G71" s="11" t="str">
        <f>CONCATENATE(Data!N69," ",Data!P69)</f>
        <v>373 V</v>
      </c>
    </row>
    <row r="72" spans="1:7" x14ac:dyDescent="0.3">
      <c r="A72" s="11" t="str">
        <f>Data!A70</f>
        <v>NISSAN LEAF 299-1018</v>
      </c>
      <c r="B72" s="11" t="str">
        <f>Data!D70</f>
        <v>Vehicle, Battery Electric Vehicle</v>
      </c>
      <c r="C72" s="12">
        <f>Data!F70</f>
        <v>46087.351959004627</v>
      </c>
      <c r="D72" s="11" t="str">
        <f>Data!G70</f>
        <v>Energía de la batería del vehículo eléctrico</v>
      </c>
      <c r="E72" s="11" t="str">
        <f>Data!J70</f>
        <v>Telematics Device</v>
      </c>
      <c r="F72" s="13">
        <f>Data!L70</f>
        <v>0</v>
      </c>
      <c r="G72" s="11" t="str">
        <f>CONCATENATE(Data!N70," ",Data!P70)</f>
        <v>373 W</v>
      </c>
    </row>
    <row r="73" spans="1:7" x14ac:dyDescent="0.3">
      <c r="A73" s="11" t="str">
        <f>Data!A71</f>
        <v>NISSAN LEAF 299-1018</v>
      </c>
      <c r="B73" s="11" t="str">
        <f>Data!D71</f>
        <v>Vehicle, Battery Electric Vehicle</v>
      </c>
      <c r="C73" s="12">
        <f>Data!F71</f>
        <v>46087.355866469909</v>
      </c>
      <c r="D73" s="11" t="str">
        <f>Data!G71</f>
        <v>Energía de la batería del vehículo eléctrico</v>
      </c>
      <c r="E73" s="11" t="str">
        <f>Data!J71</f>
        <v>Telematics Device</v>
      </c>
      <c r="F73" s="13">
        <f>Data!L71</f>
        <v>0</v>
      </c>
      <c r="G73" s="11" t="str">
        <f>CONCATENATE(Data!N71," ",Data!P71)</f>
        <v>-21820 W</v>
      </c>
    </row>
    <row r="74" spans="1:7" x14ac:dyDescent="0.3">
      <c r="A74" s="11" t="str">
        <f>Data!A72</f>
        <v>NISSAN LEAF 299-1018</v>
      </c>
      <c r="B74" s="11" t="str">
        <f>Data!D72</f>
        <v>Vehicle, Battery Electric Vehicle</v>
      </c>
      <c r="C74" s="12">
        <f>Data!F72</f>
        <v>46087.355982581015</v>
      </c>
      <c r="D74" s="11" t="str">
        <f>Data!G72</f>
        <v>Energía de la batería del vehículo eléctrico</v>
      </c>
      <c r="E74" s="11" t="str">
        <f>Data!J72</f>
        <v>Telematics Device</v>
      </c>
      <c r="F74" s="13">
        <f>Data!L72</f>
        <v>0</v>
      </c>
      <c r="G74" s="11" t="str">
        <f>CONCATENATE(Data!N72," ",Data!P72)</f>
        <v>8556 W</v>
      </c>
    </row>
    <row r="75" spans="1:7" x14ac:dyDescent="0.3">
      <c r="A75" s="11" t="str">
        <f>Data!A73</f>
        <v>NISSAN LEAF 299-1018</v>
      </c>
      <c r="B75" s="11" t="str">
        <f>Data!D73</f>
        <v>Vehicle, Battery Electric Vehicle</v>
      </c>
      <c r="C75" s="12">
        <f>Data!F73</f>
        <v>46087.35652922454</v>
      </c>
      <c r="D75" s="11" t="str">
        <f>Data!G73</f>
        <v>Energía de la batería del vehículo eléctrico</v>
      </c>
      <c r="E75" s="11" t="str">
        <f>Data!J73</f>
        <v>Telematics Device</v>
      </c>
      <c r="F75" s="13">
        <f>Data!L73</f>
        <v>0</v>
      </c>
      <c r="G75" s="11" t="str">
        <f>CONCATENATE(Data!N73," ",Data!P73)</f>
        <v>11501 W</v>
      </c>
    </row>
    <row r="76" spans="1:7" x14ac:dyDescent="0.3">
      <c r="A76" s="11" t="str">
        <f>Data!A74</f>
        <v>NISSAN LEAF 299-1018</v>
      </c>
      <c r="B76" s="11" t="str">
        <f>Data!D74</f>
        <v>Vehicle, Battery Electric Vehicle</v>
      </c>
      <c r="C76" s="12">
        <f>Data!F74</f>
        <v>46087.356598981482</v>
      </c>
      <c r="D76" s="11" t="str">
        <f>Data!G74</f>
        <v>Energía de la batería del vehículo eléctrico</v>
      </c>
      <c r="E76" s="11" t="str">
        <f>Data!J74</f>
        <v>Telematics Device</v>
      </c>
      <c r="F76" s="13">
        <f>Data!L74</f>
        <v>0</v>
      </c>
      <c r="G76" s="11" t="str">
        <f>CONCATENATE(Data!N74," ",Data!P74)</f>
        <v>4855 W</v>
      </c>
    </row>
    <row r="77" spans="1:7" x14ac:dyDescent="0.3">
      <c r="A77" s="11" t="str">
        <f>Data!A75</f>
        <v>NISSAN LEAF 299-1018</v>
      </c>
      <c r="B77" s="11" t="str">
        <f>Data!D75</f>
        <v>Vehicle, Battery Electric Vehicle</v>
      </c>
      <c r="C77" s="12">
        <f>Data!F75</f>
        <v>46087.356622314815</v>
      </c>
      <c r="D77" s="11" t="str">
        <f>Data!G75</f>
        <v>Energía de la batería del vehículo eléctrico</v>
      </c>
      <c r="E77" s="11" t="str">
        <f>Data!J75</f>
        <v>Telematics Device</v>
      </c>
      <c r="F77" s="13">
        <f>Data!L75</f>
        <v>0</v>
      </c>
      <c r="G77" s="11" t="str">
        <f>CONCATENATE(Data!N75," ",Data!P75)</f>
        <v>-34689 W</v>
      </c>
    </row>
    <row r="78" spans="1:7" x14ac:dyDescent="0.3">
      <c r="A78" s="11" t="str">
        <f>Data!A76</f>
        <v>NISSAN LEAF 299-1018</v>
      </c>
      <c r="B78" s="11" t="str">
        <f>Data!D76</f>
        <v>Vehicle, Battery Electric Vehicle</v>
      </c>
      <c r="C78" s="12">
        <f>Data!F76</f>
        <v>46087.356657037039</v>
      </c>
      <c r="D78" s="11" t="str">
        <f>Data!G76</f>
        <v>Energía de la batería del vehículo eléctrico</v>
      </c>
      <c r="E78" s="11" t="str">
        <f>Data!J76</f>
        <v>Telematics Device</v>
      </c>
      <c r="F78" s="13">
        <f>Data!L76</f>
        <v>0</v>
      </c>
      <c r="G78" s="11" t="str">
        <f>CONCATENATE(Data!N76," ",Data!P76)</f>
        <v>9911 W</v>
      </c>
    </row>
    <row r="79" spans="1:7" x14ac:dyDescent="0.3">
      <c r="A79" s="11" t="str">
        <f>Data!A77</f>
        <v>NISSAN LEAF 299-1018</v>
      </c>
      <c r="B79" s="11" t="str">
        <f>Data!D77</f>
        <v>Vehicle, Battery Electric Vehicle</v>
      </c>
      <c r="C79" s="12">
        <f>Data!F77</f>
        <v>46087.356924421299</v>
      </c>
      <c r="D79" s="11" t="str">
        <f>Data!G77</f>
        <v>Energía de la batería del vehículo eléctrico</v>
      </c>
      <c r="E79" s="11" t="str">
        <f>Data!J77</f>
        <v>Telematics Device</v>
      </c>
      <c r="F79" s="13">
        <f>Data!L77</f>
        <v>0</v>
      </c>
      <c r="G79" s="11" t="str">
        <f>CONCATENATE(Data!N77," ",Data!P77)</f>
        <v>-18024 W</v>
      </c>
    </row>
    <row r="80" spans="1:7" x14ac:dyDescent="0.3">
      <c r="A80" s="11" t="str">
        <f>Data!A78</f>
        <v>NISSAN LEAF 299-1018</v>
      </c>
      <c r="B80" s="11" t="str">
        <f>Data!D78</f>
        <v>Vehicle, Battery Electric Vehicle</v>
      </c>
      <c r="C80" s="12">
        <f>Data!F78</f>
        <v>46087.357191608797</v>
      </c>
      <c r="D80" s="11" t="str">
        <f>Data!G78</f>
        <v>Energía de la batería del vehículo eléctrico</v>
      </c>
      <c r="E80" s="11" t="str">
        <f>Data!J78</f>
        <v>Telematics Device</v>
      </c>
      <c r="F80" s="13">
        <f>Data!L78</f>
        <v>0</v>
      </c>
      <c r="G80" s="11" t="str">
        <f>CONCATENATE(Data!N78," ",Data!P78)</f>
        <v>17945 W</v>
      </c>
    </row>
    <row r="81" spans="1:7" x14ac:dyDescent="0.3">
      <c r="A81" s="11" t="str">
        <f>Data!A79</f>
        <v>NISSAN LEAF 299-1018</v>
      </c>
      <c r="B81" s="11" t="str">
        <f>Data!D79</f>
        <v>Vehicle, Battery Electric Vehicle</v>
      </c>
      <c r="C81" s="12">
        <f>Data!F79</f>
        <v>46087.357238182871</v>
      </c>
      <c r="D81" s="11" t="str">
        <f>Data!G79</f>
        <v>Energía de la batería del vehículo eléctrico</v>
      </c>
      <c r="E81" s="11" t="str">
        <f>Data!J79</f>
        <v>Telematics Device</v>
      </c>
      <c r="F81" s="13">
        <f>Data!L79</f>
        <v>0</v>
      </c>
      <c r="G81" s="11" t="str">
        <f>CONCATENATE(Data!N79," ",Data!P79)</f>
        <v>-43081 W</v>
      </c>
    </row>
    <row r="82" spans="1:7" x14ac:dyDescent="0.3">
      <c r="A82" s="11" t="str">
        <f>Data!A80</f>
        <v>NISSAN LEAF 299-1018</v>
      </c>
      <c r="B82" s="11" t="str">
        <f>Data!D80</f>
        <v>Vehicle, Battery Electric Vehicle</v>
      </c>
      <c r="C82" s="12">
        <f>Data!F80</f>
        <v>46087.357435752318</v>
      </c>
      <c r="D82" s="11" t="str">
        <f>Data!G80</f>
        <v>Energía de la batería del vehículo eléctrico</v>
      </c>
      <c r="E82" s="11" t="str">
        <f>Data!J80</f>
        <v>Telematics Device</v>
      </c>
      <c r="F82" s="13">
        <f>Data!L80</f>
        <v>0</v>
      </c>
      <c r="G82" s="11" t="str">
        <f>CONCATENATE(Data!N80," ",Data!P80)</f>
        <v>17736 W</v>
      </c>
    </row>
    <row r="83" spans="1:7" x14ac:dyDescent="0.3">
      <c r="A83" s="11" t="str">
        <f>Data!A81</f>
        <v>NISSAN LEAF 299-1018</v>
      </c>
      <c r="B83" s="11" t="str">
        <f>Data!D81</f>
        <v>Vehicle, Battery Electric Vehicle</v>
      </c>
      <c r="C83" s="12">
        <f>Data!F81</f>
        <v>46087.357982083333</v>
      </c>
      <c r="D83" s="11" t="str">
        <f>Data!G81</f>
        <v>Energía de la batería del vehículo eléctrico</v>
      </c>
      <c r="E83" s="11" t="str">
        <f>Data!J81</f>
        <v>Telematics Device</v>
      </c>
      <c r="F83" s="13">
        <f>Data!L81</f>
        <v>0</v>
      </c>
      <c r="G83" s="11" t="str">
        <f>CONCATENATE(Data!N81," ",Data!P81)</f>
        <v>-15603 W</v>
      </c>
    </row>
    <row r="84" spans="1:7" x14ac:dyDescent="0.3">
      <c r="A84" s="11" t="str">
        <f>Data!A82</f>
        <v>NISSAN LEAF 299-1018</v>
      </c>
      <c r="B84" s="11" t="str">
        <f>Data!D82</f>
        <v>Vehicle, Battery Electric Vehicle</v>
      </c>
      <c r="C84" s="12">
        <f>Data!F82</f>
        <v>46087.358051944444</v>
      </c>
      <c r="D84" s="11" t="str">
        <f>Data!G82</f>
        <v>Energía de la batería del vehículo eléctrico</v>
      </c>
      <c r="E84" s="11" t="str">
        <f>Data!J82</f>
        <v>Telematics Device</v>
      </c>
      <c r="F84" s="13">
        <f>Data!L82</f>
        <v>0</v>
      </c>
      <c r="G84" s="11" t="str">
        <f>CONCATENATE(Data!N82," ",Data!P82)</f>
        <v>11130 W</v>
      </c>
    </row>
    <row r="85" spans="1:7" x14ac:dyDescent="0.3">
      <c r="A85" s="11" t="str">
        <f>Data!A83</f>
        <v>NISSAN LEAF 299-1018</v>
      </c>
      <c r="B85" s="11" t="str">
        <f>Data!D83</f>
        <v>Vehicle, Battery Electric Vehicle</v>
      </c>
      <c r="C85" s="12">
        <f>Data!F83</f>
        <v>46087.358445949074</v>
      </c>
      <c r="D85" s="11" t="str">
        <f>Data!G83</f>
        <v>Estado de carga genérico</v>
      </c>
      <c r="E85" s="11" t="str">
        <f>Data!J83</f>
        <v>Telematics Device</v>
      </c>
      <c r="F85" s="13">
        <f>Data!L83</f>
        <v>0</v>
      </c>
      <c r="G85" s="11" t="str">
        <f>CONCATENATE(Data!N83," ",Data!P83)</f>
        <v>75.49 %</v>
      </c>
    </row>
    <row r="86" spans="1:7" x14ac:dyDescent="0.3">
      <c r="A86" s="11" t="str">
        <f>Data!A84</f>
        <v>NISSAN LEAF 299-1018</v>
      </c>
      <c r="B86" s="11" t="str">
        <f>Data!D84</f>
        <v>Vehicle, Battery Electric Vehicle</v>
      </c>
      <c r="C86" s="12">
        <f>Data!F84</f>
        <v>46087.358575983795</v>
      </c>
      <c r="D86" s="11" t="str">
        <f>Data!G84</f>
        <v>Energía de la batería del vehículo eléctrico</v>
      </c>
      <c r="E86" s="11" t="str">
        <f>Data!J84</f>
        <v>Telematics Device</v>
      </c>
      <c r="F86" s="13">
        <f>Data!L84</f>
        <v>0</v>
      </c>
      <c r="G86" s="11" t="str">
        <f>CONCATENATE(Data!N84," ",Data!P84)</f>
        <v>-14773 W</v>
      </c>
    </row>
    <row r="87" spans="1:7" x14ac:dyDescent="0.3">
      <c r="A87" s="11" t="str">
        <f>Data!A85</f>
        <v>NISSAN LEAF 299-1018</v>
      </c>
      <c r="B87" s="11" t="str">
        <f>Data!D85</f>
        <v>Vehicle, Battery Electric Vehicle</v>
      </c>
      <c r="C87" s="12">
        <f>Data!F85</f>
        <v>46087.358854710648</v>
      </c>
      <c r="D87" s="11" t="str">
        <f>Data!G85</f>
        <v>Energía de la batería del vehículo eléctrico</v>
      </c>
      <c r="E87" s="11" t="str">
        <f>Data!J85</f>
        <v>Telematics Device</v>
      </c>
      <c r="F87" s="13">
        <f>Data!L85</f>
        <v>0</v>
      </c>
      <c r="G87" s="11" t="str">
        <f>CONCATENATE(Data!N85," ",Data!P85)</f>
        <v>18685 W</v>
      </c>
    </row>
    <row r="88" spans="1:7" x14ac:dyDescent="0.3">
      <c r="A88" s="11" t="str">
        <f>Data!A86</f>
        <v>NISSAN LEAF 299-1018</v>
      </c>
      <c r="B88" s="11" t="str">
        <f>Data!D86</f>
        <v>Vehicle, Battery Electric Vehicle</v>
      </c>
      <c r="C88" s="12">
        <f>Data!F86</f>
        <v>46087.359064583332</v>
      </c>
      <c r="D88" s="11" t="str">
        <f>Data!G86</f>
        <v>Energía de la batería del vehículo eléctrico</v>
      </c>
      <c r="E88" s="11" t="str">
        <f>Data!J86</f>
        <v>Telematics Device</v>
      </c>
      <c r="F88" s="13">
        <f>Data!L86</f>
        <v>0</v>
      </c>
      <c r="G88" s="11" t="str">
        <f>CONCATENATE(Data!N86," ",Data!P86)</f>
        <v>-22536 W</v>
      </c>
    </row>
    <row r="89" spans="1:7" x14ac:dyDescent="0.3">
      <c r="A89" s="11" t="str">
        <f>Data!A87</f>
        <v>NISSAN LEAF 299-1018</v>
      </c>
      <c r="B89" s="11" t="str">
        <f>Data!D87</f>
        <v>Vehicle, Battery Electric Vehicle</v>
      </c>
      <c r="C89" s="12">
        <f>Data!F87</f>
        <v>46087.359204016204</v>
      </c>
      <c r="D89" s="11" t="str">
        <f>Data!G87</f>
        <v>Energía de la batería del vehículo eléctrico</v>
      </c>
      <c r="E89" s="11" t="str">
        <f>Data!J87</f>
        <v>Telematics Device</v>
      </c>
      <c r="F89" s="13">
        <f>Data!L87</f>
        <v>0</v>
      </c>
      <c r="G89" s="11" t="str">
        <f>CONCATENATE(Data!N87," ",Data!P87)</f>
        <v>3906 W</v>
      </c>
    </row>
    <row r="90" spans="1:7" x14ac:dyDescent="0.3">
      <c r="A90" s="11" t="str">
        <f>Data!A88</f>
        <v>NISSAN LEAF 299-1018</v>
      </c>
      <c r="B90" s="11" t="str">
        <f>Data!D88</f>
        <v>Vehicle, Battery Electric Vehicle</v>
      </c>
      <c r="C90" s="12">
        <f>Data!F88</f>
        <v>46087.362099432874</v>
      </c>
      <c r="D90" s="11" t="str">
        <f>Data!G88</f>
        <v>Energía de la batería del vehículo eléctrico</v>
      </c>
      <c r="E90" s="11" t="str">
        <f>Data!J88</f>
        <v>Telematics Device</v>
      </c>
      <c r="F90" s="13">
        <f>Data!L88</f>
        <v>0</v>
      </c>
      <c r="G90" s="11" t="str">
        <f>CONCATENATE(Data!N88," ",Data!P88)</f>
        <v>-11100 W</v>
      </c>
    </row>
    <row r="91" spans="1:7" x14ac:dyDescent="0.3">
      <c r="A91" s="11" t="str">
        <f>Data!A89</f>
        <v>NISSAN LEAF 299-1018</v>
      </c>
      <c r="B91" s="11" t="str">
        <f>Data!D89</f>
        <v>Vehicle, Battery Electric Vehicle</v>
      </c>
      <c r="C91" s="12">
        <f>Data!F89</f>
        <v>46087.362215717592</v>
      </c>
      <c r="D91" s="11" t="str">
        <f>Data!G89</f>
        <v>Energía de la batería del vehículo eléctrico</v>
      </c>
      <c r="E91" s="11" t="str">
        <f>Data!J89</f>
        <v>Telematics Device</v>
      </c>
      <c r="F91" s="13">
        <f>Data!L89</f>
        <v>0</v>
      </c>
      <c r="G91" s="11" t="str">
        <f>CONCATENATE(Data!N89," ",Data!P89)</f>
        <v>24486 W</v>
      </c>
    </row>
    <row r="92" spans="1:7" x14ac:dyDescent="0.3">
      <c r="A92" s="11" t="str">
        <f>Data!A90</f>
        <v>NISSAN LEAF 299-1018</v>
      </c>
      <c r="B92" s="11" t="str">
        <f>Data!D90</f>
        <v>Vehicle, Battery Electric Vehicle</v>
      </c>
      <c r="C92" s="12">
        <f>Data!F90</f>
        <v>46087.362250844904</v>
      </c>
      <c r="D92" s="11" t="str">
        <f>Data!G90</f>
        <v>Energía de la batería del vehículo eléctrico</v>
      </c>
      <c r="E92" s="11" t="str">
        <f>Data!J90</f>
        <v>Telematics Device</v>
      </c>
      <c r="F92" s="13">
        <f>Data!L90</f>
        <v>0</v>
      </c>
      <c r="G92" s="11" t="str">
        <f>CONCATENATE(Data!N90," ",Data!P90)</f>
        <v>-10216 W</v>
      </c>
    </row>
    <row r="93" spans="1:7" x14ac:dyDescent="0.3">
      <c r="A93" s="11" t="str">
        <f>Data!A91</f>
        <v>NISSAN LEAF 299-1018</v>
      </c>
      <c r="B93" s="11" t="str">
        <f>Data!D91</f>
        <v>Vehicle, Battery Electric Vehicle</v>
      </c>
      <c r="C93" s="12">
        <f>Data!F91</f>
        <v>46087.363366562502</v>
      </c>
      <c r="D93" s="11" t="str">
        <f>Data!G91</f>
        <v>Energía de la batería del vehículo eléctrico</v>
      </c>
      <c r="E93" s="11" t="str">
        <f>Data!J91</f>
        <v>Telematics Device</v>
      </c>
      <c r="F93" s="13">
        <f>Data!L91</f>
        <v>0</v>
      </c>
      <c r="G93" s="11" t="str">
        <f>CONCATENATE(Data!N91," ",Data!P91)</f>
        <v>15375 W</v>
      </c>
    </row>
    <row r="94" spans="1:7" x14ac:dyDescent="0.3">
      <c r="A94" s="11" t="str">
        <f>Data!A92</f>
        <v>NISSAN LEAF 299-1018</v>
      </c>
      <c r="B94" s="11" t="str">
        <f>Data!D92</f>
        <v>Vehicle, Battery Electric Vehicle</v>
      </c>
      <c r="C94" s="12">
        <f>Data!F92</f>
        <v>46087.363413171297</v>
      </c>
      <c r="D94" s="11" t="str">
        <f>Data!G92</f>
        <v>Energía de la batería del vehículo eléctrico</v>
      </c>
      <c r="E94" s="11" t="str">
        <f>Data!J92</f>
        <v>Telematics Device</v>
      </c>
      <c r="F94" s="13">
        <f>Data!L92</f>
        <v>0</v>
      </c>
      <c r="G94" s="11" t="str">
        <f>CONCATENATE(Data!N92," ",Data!P92)</f>
        <v>-24519 W</v>
      </c>
    </row>
    <row r="95" spans="1:7" x14ac:dyDescent="0.3">
      <c r="A95" s="11" t="str">
        <f>Data!A93</f>
        <v>NISSAN LEAF 299-1018</v>
      </c>
      <c r="B95" s="11" t="str">
        <f>Data!D93</f>
        <v>Vehicle, Battery Electric Vehicle</v>
      </c>
      <c r="C95" s="12">
        <f>Data!F93</f>
        <v>46087.365831620373</v>
      </c>
      <c r="D95" s="11" t="str">
        <f>Data!G93</f>
        <v>Energía de la batería del vehículo eléctrico</v>
      </c>
      <c r="E95" s="11" t="str">
        <f>Data!J93</f>
        <v>Telematics Device</v>
      </c>
      <c r="F95" s="13">
        <f>Data!L93</f>
        <v>0</v>
      </c>
      <c r="G95" s="11" t="str">
        <f>CONCATENATE(Data!N93," ",Data!P93)</f>
        <v>13302 W</v>
      </c>
    </row>
    <row r="96" spans="1:7" x14ac:dyDescent="0.3">
      <c r="A96" s="11" t="str">
        <f>Data!A94</f>
        <v>NISSAN LEAF 299-1018</v>
      </c>
      <c r="B96" s="11" t="str">
        <f>Data!D94</f>
        <v>Vehicle, Battery Electric Vehicle</v>
      </c>
      <c r="C96" s="12">
        <f>Data!F94</f>
        <v>46087.365912905094</v>
      </c>
      <c r="D96" s="11" t="str">
        <f>Data!G94</f>
        <v>Energía de la batería del vehículo eléctrico</v>
      </c>
      <c r="E96" s="11" t="str">
        <f>Data!J94</f>
        <v>Telematics Device</v>
      </c>
      <c r="F96" s="13">
        <f>Data!L94</f>
        <v>0</v>
      </c>
      <c r="G96" s="11" t="str">
        <f>CONCATENATE(Data!N94," ",Data!P94)</f>
        <v>-14302 W</v>
      </c>
    </row>
    <row r="97" spans="1:7" x14ac:dyDescent="0.3">
      <c r="A97" s="11" t="str">
        <f>Data!A95</f>
        <v>NISSAN LEAF 299-1018</v>
      </c>
      <c r="B97" s="11" t="str">
        <f>Data!D95</f>
        <v>Vehicle, Battery Electric Vehicle</v>
      </c>
      <c r="C97" s="12">
        <f>Data!F95</f>
        <v>46087.366981828702</v>
      </c>
      <c r="D97" s="11" t="str">
        <f>Data!G95</f>
        <v>Energía de la batería del vehículo eléctrico</v>
      </c>
      <c r="E97" s="11" t="str">
        <f>Data!J95</f>
        <v>Telematics Device</v>
      </c>
      <c r="F97" s="13">
        <f>Data!L95</f>
        <v>0</v>
      </c>
      <c r="G97" s="11" t="str">
        <f>CONCATENATE(Data!N95," ",Data!P95)</f>
        <v>-14586 W</v>
      </c>
    </row>
    <row r="98" spans="1:7" x14ac:dyDescent="0.3">
      <c r="A98" s="11" t="str">
        <f>Data!A96</f>
        <v>NISSAN LEAF 299-1018</v>
      </c>
      <c r="B98" s="11" t="str">
        <f>Data!D96</f>
        <v>Vehicle, Battery Electric Vehicle</v>
      </c>
      <c r="C98" s="12">
        <f>Data!F96</f>
        <v>46087.367063217593</v>
      </c>
      <c r="D98" s="11" t="str">
        <f>Data!G96</f>
        <v>Energía de la batería del vehículo eléctrico</v>
      </c>
      <c r="E98" s="11" t="str">
        <f>Data!J96</f>
        <v>Telematics Device</v>
      </c>
      <c r="F98" s="13">
        <f>Data!L96</f>
        <v>0</v>
      </c>
      <c r="G98" s="11" t="str">
        <f>CONCATENATE(Data!N96," ",Data!P96)</f>
        <v>15396 W</v>
      </c>
    </row>
    <row r="99" spans="1:7" x14ac:dyDescent="0.3">
      <c r="A99" s="11" t="str">
        <f>Data!A97</f>
        <v>NISSAN LEAF 299-1018</v>
      </c>
      <c r="B99" s="11" t="str">
        <f>Data!D97</f>
        <v>Vehicle, Battery Electric Vehicle</v>
      </c>
      <c r="C99" s="12">
        <f>Data!F97</f>
        <v>46087.367539328705</v>
      </c>
      <c r="D99" s="11" t="str">
        <f>Data!G97</f>
        <v>Energía de la batería del vehículo eléctrico</v>
      </c>
      <c r="E99" s="11" t="str">
        <f>Data!J97</f>
        <v>Telematics Device</v>
      </c>
      <c r="F99" s="13">
        <f>Data!L97</f>
        <v>0</v>
      </c>
      <c r="G99" s="11" t="str">
        <f>CONCATENATE(Data!N97," ",Data!P97)</f>
        <v>15456 W</v>
      </c>
    </row>
    <row r="100" spans="1:7" x14ac:dyDescent="0.3">
      <c r="A100" s="11" t="str">
        <f>Data!A98</f>
        <v>NISSAN LEAF 299-1018</v>
      </c>
      <c r="B100" s="11" t="str">
        <f>Data!D98</f>
        <v>Vehicle, Battery Electric Vehicle</v>
      </c>
      <c r="C100" s="12">
        <f>Data!F98</f>
        <v>46087.367620625002</v>
      </c>
      <c r="D100" s="11" t="str">
        <f>Data!G98</f>
        <v>Energía de la batería del vehículo eléctrico</v>
      </c>
      <c r="E100" s="11" t="str">
        <f>Data!J98</f>
        <v>Telematics Device</v>
      </c>
      <c r="F100" s="13">
        <f>Data!L98</f>
        <v>0</v>
      </c>
      <c r="G100" s="11" t="str">
        <f>CONCATENATE(Data!N98," ",Data!P98)</f>
        <v>-15682 W</v>
      </c>
    </row>
    <row r="101" spans="1:7" x14ac:dyDescent="0.3">
      <c r="A101" s="11" t="str">
        <f>Data!A99</f>
        <v>NISSAN LEAF 299-1018</v>
      </c>
      <c r="B101" s="11" t="str">
        <f>Data!D99</f>
        <v>Vehicle, Battery Electric Vehicle</v>
      </c>
      <c r="C101" s="12">
        <f>Data!F99</f>
        <v>46087.367980821757</v>
      </c>
      <c r="D101" s="11" t="str">
        <f>Data!G99</f>
        <v>Energía de la batería del vehículo eléctrico</v>
      </c>
      <c r="E101" s="11" t="str">
        <f>Data!J99</f>
        <v>Telematics Device</v>
      </c>
      <c r="F101" s="13">
        <f>Data!L99</f>
        <v>0</v>
      </c>
      <c r="G101" s="11" t="str">
        <f>CONCATENATE(Data!N99," ",Data!P99)</f>
        <v>14206 W</v>
      </c>
    </row>
    <row r="102" spans="1:7" x14ac:dyDescent="0.3">
      <c r="A102" s="11" t="str">
        <f>Data!A100</f>
        <v>NISSAN LEAF 299-1018</v>
      </c>
      <c r="B102" s="11" t="str">
        <f>Data!D100</f>
        <v>Vehicle, Battery Electric Vehicle</v>
      </c>
      <c r="C102" s="12">
        <f>Data!F100</f>
        <v>46087.368097199076</v>
      </c>
      <c r="D102" s="11" t="str">
        <f>Data!G100</f>
        <v>Energía de la batería del vehículo eléctrico</v>
      </c>
      <c r="E102" s="11" t="str">
        <f>Data!J100</f>
        <v>Telematics Device</v>
      </c>
      <c r="F102" s="13">
        <f>Data!L100</f>
        <v>0</v>
      </c>
      <c r="G102" s="11" t="str">
        <f>CONCATENATE(Data!N100," ",Data!P100)</f>
        <v>11607 W</v>
      </c>
    </row>
    <row r="103" spans="1:7" x14ac:dyDescent="0.3">
      <c r="A103" s="11" t="str">
        <f>Data!A101</f>
        <v>NISSAN LEAF 299-1018</v>
      </c>
      <c r="B103" s="11" t="str">
        <f>Data!D101</f>
        <v>Vehicle, Battery Electric Vehicle</v>
      </c>
      <c r="C103" s="12">
        <f>Data!F101</f>
        <v>46087.368201817131</v>
      </c>
      <c r="D103" s="11" t="str">
        <f>Data!G101</f>
        <v>Energía de la batería del vehículo eléctrico</v>
      </c>
      <c r="E103" s="11" t="str">
        <f>Data!J101</f>
        <v>Telematics Device</v>
      </c>
      <c r="F103" s="13">
        <f>Data!L101</f>
        <v>0</v>
      </c>
      <c r="G103" s="11" t="str">
        <f>CONCATENATE(Data!N101," ",Data!P101)</f>
        <v>-15666 W</v>
      </c>
    </row>
    <row r="104" spans="1:7" x14ac:dyDescent="0.3">
      <c r="A104" s="11" t="str">
        <f>Data!A102</f>
        <v>NISSAN LEAF 299-1018</v>
      </c>
      <c r="B104" s="11" t="str">
        <f>Data!D102</f>
        <v>Vehicle, Battery Electric Vehicle</v>
      </c>
      <c r="C104" s="12">
        <f>Data!F102</f>
        <v>46087.368248240738</v>
      </c>
      <c r="D104" s="11" t="str">
        <f>Data!G102</f>
        <v>Energía de la batería del vehículo eléctrico</v>
      </c>
      <c r="E104" s="11" t="str">
        <f>Data!J102</f>
        <v>Telematics Device</v>
      </c>
      <c r="F104" s="13">
        <f>Data!L102</f>
        <v>0</v>
      </c>
      <c r="G104" s="11" t="str">
        <f>CONCATENATE(Data!N102," ",Data!P102)</f>
        <v>27046 W</v>
      </c>
    </row>
    <row r="105" spans="1:7" x14ac:dyDescent="0.3">
      <c r="A105" s="11" t="str">
        <f>Data!A103</f>
        <v>NISSAN LEAF 299-1018</v>
      </c>
      <c r="B105" s="11" t="str">
        <f>Data!D103</f>
        <v>Vehicle, Battery Electric Vehicle</v>
      </c>
      <c r="C105" s="12">
        <f>Data!F103</f>
        <v>46087.368515486109</v>
      </c>
      <c r="D105" s="11" t="str">
        <f>Data!G103</f>
        <v>Energía de la batería del vehículo eléctrico</v>
      </c>
      <c r="E105" s="11" t="str">
        <f>Data!J103</f>
        <v>Telematics Device</v>
      </c>
      <c r="F105" s="13">
        <f>Data!L103</f>
        <v>0</v>
      </c>
      <c r="G105" s="11" t="str">
        <f>CONCATENATE(Data!N103," ",Data!P103)</f>
        <v>-12111 W</v>
      </c>
    </row>
    <row r="106" spans="1:7" x14ac:dyDescent="0.3">
      <c r="A106" s="11" t="str">
        <f>Data!A104</f>
        <v>NISSAN LEAF 299-1018</v>
      </c>
      <c r="B106" s="11" t="str">
        <f>Data!D104</f>
        <v>Vehicle, Battery Electric Vehicle</v>
      </c>
      <c r="C106" s="12">
        <f>Data!F104</f>
        <v>46087.368550393519</v>
      </c>
      <c r="D106" s="11" t="str">
        <f>Data!G104</f>
        <v>Energía de la batería del vehículo eléctrico</v>
      </c>
      <c r="E106" s="11" t="str">
        <f>Data!J104</f>
        <v>Telematics Device</v>
      </c>
      <c r="F106" s="13">
        <f>Data!L104</f>
        <v>0</v>
      </c>
      <c r="G106" s="11" t="str">
        <f>CONCATENATE(Data!N104," ",Data!P104)</f>
        <v>20763 W</v>
      </c>
    </row>
    <row r="107" spans="1:7" x14ac:dyDescent="0.3">
      <c r="A107" s="11" t="str">
        <f>Data!A105</f>
        <v>NISSAN LEAF 299-1018</v>
      </c>
      <c r="B107" s="11" t="str">
        <f>Data!D105</f>
        <v>Vehicle, Battery Electric Vehicle</v>
      </c>
      <c r="C107" s="12">
        <f>Data!F105</f>
        <v>46087.368585162039</v>
      </c>
      <c r="D107" s="11" t="str">
        <f>Data!G105</f>
        <v>Energía de la batería del vehículo eléctrico</v>
      </c>
      <c r="E107" s="11" t="str">
        <f>Data!J105</f>
        <v>Telematics Device</v>
      </c>
      <c r="F107" s="13">
        <f>Data!L105</f>
        <v>0</v>
      </c>
      <c r="G107" s="11" t="str">
        <f>CONCATENATE(Data!N105," ",Data!P105)</f>
        <v>-19821 W</v>
      </c>
    </row>
    <row r="108" spans="1:7" x14ac:dyDescent="0.3">
      <c r="A108" s="11" t="str">
        <f>Data!A106</f>
        <v>NISSAN LEAF 299-1018</v>
      </c>
      <c r="B108" s="11" t="str">
        <f>Data!D106</f>
        <v>Vehicle, Battery Electric Vehicle</v>
      </c>
      <c r="C108" s="12">
        <f>Data!F106</f>
        <v>46087.368713148149</v>
      </c>
      <c r="D108" s="11" t="str">
        <f>Data!G106</f>
        <v>Energía de la batería del vehículo eléctrico</v>
      </c>
      <c r="E108" s="11" t="str">
        <f>Data!J106</f>
        <v>Telematics Device</v>
      </c>
      <c r="F108" s="13">
        <f>Data!L106</f>
        <v>0</v>
      </c>
      <c r="G108" s="11" t="str">
        <f>CONCATENATE(Data!N106," ",Data!P106)</f>
        <v>16744 W</v>
      </c>
    </row>
    <row r="109" spans="1:7" x14ac:dyDescent="0.3">
      <c r="A109" s="11" t="str">
        <f>Data!A107</f>
        <v>NISSAN LEAF 299-1018</v>
      </c>
      <c r="B109" s="11" t="str">
        <f>Data!D107</f>
        <v>Vehicle, Battery Electric Vehicle</v>
      </c>
      <c r="C109" s="12">
        <f>Data!F107</f>
        <v>46087.368736574077</v>
      </c>
      <c r="D109" s="11" t="str">
        <f>Data!G107</f>
        <v>Energía de la batería del vehículo eléctrico</v>
      </c>
      <c r="E109" s="11" t="str">
        <f>Data!J107</f>
        <v>Telematics Device</v>
      </c>
      <c r="F109" s="13">
        <f>Data!L107</f>
        <v>0</v>
      </c>
      <c r="G109" s="11" t="str">
        <f>CONCATENATE(Data!N107," ",Data!P107)</f>
        <v>-15435 W</v>
      </c>
    </row>
    <row r="110" spans="1:7" x14ac:dyDescent="0.3">
      <c r="A110" s="11" t="str">
        <f>Data!A108</f>
        <v>NISSAN LEAF 299-1018</v>
      </c>
      <c r="B110" s="11" t="str">
        <f>Data!D108</f>
        <v>Vehicle, Battery Electric Vehicle</v>
      </c>
      <c r="C110" s="12">
        <f>Data!F108</f>
        <v>46087.368771562498</v>
      </c>
      <c r="D110" s="11" t="str">
        <f>Data!G108</f>
        <v>Energía de la batería del vehículo eléctrico</v>
      </c>
      <c r="E110" s="11" t="str">
        <f>Data!J108</f>
        <v>Telematics Device</v>
      </c>
      <c r="F110" s="13">
        <f>Data!L108</f>
        <v>0</v>
      </c>
      <c r="G110" s="11" t="str">
        <f>CONCATENATE(Data!N108," ",Data!P108)</f>
        <v>30073 W</v>
      </c>
    </row>
    <row r="111" spans="1:7" x14ac:dyDescent="0.3">
      <c r="A111" s="11" t="str">
        <f>Data!A109</f>
        <v>NISSAN LEAF 299-1018</v>
      </c>
      <c r="B111" s="11" t="str">
        <f>Data!D109</f>
        <v>Vehicle, Battery Electric Vehicle</v>
      </c>
      <c r="C111" s="12">
        <f>Data!F109</f>
        <v>46087.368817905095</v>
      </c>
      <c r="D111" s="11" t="str">
        <f>Data!G109</f>
        <v>Energía de la batería del vehículo eléctrico</v>
      </c>
      <c r="E111" s="11" t="str">
        <f>Data!J109</f>
        <v>Telematics Device</v>
      </c>
      <c r="F111" s="13">
        <f>Data!L109</f>
        <v>0</v>
      </c>
      <c r="G111" s="11" t="str">
        <f>CONCATENATE(Data!N109," ",Data!P109)</f>
        <v>29788 W</v>
      </c>
    </row>
    <row r="112" spans="1:7" x14ac:dyDescent="0.3">
      <c r="A112" s="11" t="str">
        <f>Data!A110</f>
        <v>NISSAN LEAF 299-1018</v>
      </c>
      <c r="B112" s="11" t="str">
        <f>Data!D110</f>
        <v>Vehicle, Battery Electric Vehicle</v>
      </c>
      <c r="C112" s="12">
        <f>Data!F110</f>
        <v>46087.368829571758</v>
      </c>
      <c r="D112" s="11" t="str">
        <f>Data!G110</f>
        <v>Energía de la batería del vehículo eléctrico</v>
      </c>
      <c r="E112" s="11" t="str">
        <f>Data!J110</f>
        <v>Telematics Device</v>
      </c>
      <c r="F112" s="13">
        <f>Data!L110</f>
        <v>0</v>
      </c>
      <c r="G112" s="11" t="str">
        <f>CONCATENATE(Data!N110," ",Data!P110)</f>
        <v>-10051 W</v>
      </c>
    </row>
    <row r="113" spans="1:7" x14ac:dyDescent="0.3">
      <c r="A113" s="11" t="str">
        <f>Data!A111</f>
        <v>NISSAN LEAF 299-1018</v>
      </c>
      <c r="B113" s="11" t="str">
        <f>Data!D111</f>
        <v>Vehicle, Battery Electric Vehicle</v>
      </c>
      <c r="C113" s="12">
        <f>Data!F111</f>
        <v>46087.368852812499</v>
      </c>
      <c r="D113" s="11" t="str">
        <f>Data!G111</f>
        <v>Energía de la batería del vehículo eléctrico</v>
      </c>
      <c r="E113" s="11" t="str">
        <f>Data!J111</f>
        <v>Telematics Device</v>
      </c>
      <c r="F113" s="13">
        <f>Data!L111</f>
        <v>0</v>
      </c>
      <c r="G113" s="11" t="str">
        <f>CONCATENATE(Data!N111," ",Data!P111)</f>
        <v>19980 W</v>
      </c>
    </row>
    <row r="114" spans="1:7" x14ac:dyDescent="0.3">
      <c r="A114" s="11" t="str">
        <f>Data!A112</f>
        <v>NISSAN LEAF 299-1018</v>
      </c>
      <c r="B114" s="11" t="str">
        <f>Data!D112</f>
        <v>Vehicle, Battery Electric Vehicle</v>
      </c>
      <c r="C114" s="12">
        <f>Data!F112</f>
        <v>46087.368876678243</v>
      </c>
      <c r="D114" s="11" t="str">
        <f>Data!G112</f>
        <v>Estado de carga genérico</v>
      </c>
      <c r="E114" s="11" t="str">
        <f>Data!J112</f>
        <v>Telematics Device</v>
      </c>
      <c r="F114" s="13">
        <f>Data!L112</f>
        <v>0</v>
      </c>
      <c r="G114" s="11" t="str">
        <f>CONCATENATE(Data!N112," ",Data!P112)</f>
        <v>74.27 %</v>
      </c>
    </row>
    <row r="115" spans="1:7" x14ac:dyDescent="0.3">
      <c r="A115" s="11" t="str">
        <f>Data!A113</f>
        <v>NISSAN LEAF 299-1018</v>
      </c>
      <c r="B115" s="11" t="str">
        <f>Data!D113</f>
        <v>Vehicle, Battery Electric Vehicle</v>
      </c>
      <c r="C115" s="12">
        <f>Data!F113</f>
        <v>46087.369015567128</v>
      </c>
      <c r="D115" s="11" t="str">
        <f>Data!G113</f>
        <v>Energía de la batería del vehículo eléctrico</v>
      </c>
      <c r="E115" s="11" t="str">
        <f>Data!J113</f>
        <v>Telematics Device</v>
      </c>
      <c r="F115" s="13">
        <f>Data!L113</f>
        <v>0</v>
      </c>
      <c r="G115" s="11" t="str">
        <f>CONCATENATE(Data!N113," ",Data!P113)</f>
        <v>28613 W</v>
      </c>
    </row>
    <row r="116" spans="1:7" x14ac:dyDescent="0.3">
      <c r="A116" s="11" t="str">
        <f>Data!A114</f>
        <v>NISSAN LEAF 299-1018</v>
      </c>
      <c r="B116" s="11" t="str">
        <f>Data!D114</f>
        <v>Vehicle, Battery Electric Vehicle</v>
      </c>
      <c r="C116" s="12">
        <f>Data!F114</f>
        <v>46087.369062094906</v>
      </c>
      <c r="D116" s="11" t="str">
        <f>Data!G114</f>
        <v>Energía de la batería del vehículo eléctrico</v>
      </c>
      <c r="E116" s="11" t="str">
        <f>Data!J114</f>
        <v>Telematics Device</v>
      </c>
      <c r="F116" s="13">
        <f>Data!L114</f>
        <v>0</v>
      </c>
      <c r="G116" s="11" t="str">
        <f>CONCATENATE(Data!N114," ",Data!P114)</f>
        <v>-10767 W</v>
      </c>
    </row>
    <row r="117" spans="1:7" x14ac:dyDescent="0.3">
      <c r="A117" s="11" t="str">
        <f>Data!A115</f>
        <v>NISSAN LEAF 299-1018</v>
      </c>
      <c r="B117" s="11" t="str">
        <f>Data!D115</f>
        <v>Vehicle, Battery Electric Vehicle</v>
      </c>
      <c r="C117" s="12">
        <f>Data!F115</f>
        <v>46087.36909699074</v>
      </c>
      <c r="D117" s="11" t="str">
        <f>Data!G115</f>
        <v>Energía de la batería del vehículo eléctrico</v>
      </c>
      <c r="E117" s="11" t="str">
        <f>Data!J115</f>
        <v>Telematics Device</v>
      </c>
      <c r="F117" s="13">
        <f>Data!L115</f>
        <v>0</v>
      </c>
      <c r="G117" s="11" t="str">
        <f>CONCATENATE(Data!N115," ",Data!P115)</f>
        <v>17664 W</v>
      </c>
    </row>
    <row r="118" spans="1:7" x14ac:dyDescent="0.3">
      <c r="A118" s="11" t="str">
        <f>Data!A116</f>
        <v>NISSAN LEAF 299-1018</v>
      </c>
      <c r="B118" s="11" t="str">
        <f>Data!D116</f>
        <v>Vehicle, Battery Electric Vehicle</v>
      </c>
      <c r="C118" s="12">
        <f>Data!F116</f>
        <v>46087.369271423609</v>
      </c>
      <c r="D118" s="11" t="str">
        <f>Data!G116</f>
        <v>Energía de la batería del vehículo eléctrico</v>
      </c>
      <c r="E118" s="11" t="str">
        <f>Data!J116</f>
        <v>Telematics Device</v>
      </c>
      <c r="F118" s="13">
        <f>Data!L116</f>
        <v>0</v>
      </c>
      <c r="G118" s="11" t="str">
        <f>CONCATENATE(Data!N116," ",Data!P116)</f>
        <v>-19266 W</v>
      </c>
    </row>
    <row r="119" spans="1:7" x14ac:dyDescent="0.3">
      <c r="A119" s="11" t="str">
        <f>Data!A117</f>
        <v>NISSAN LEAF 299-1018</v>
      </c>
      <c r="B119" s="11" t="str">
        <f>Data!D117</f>
        <v>Vehicle, Battery Electric Vehicle</v>
      </c>
      <c r="C119" s="12">
        <f>Data!F117</f>
        <v>46087.36942260417</v>
      </c>
      <c r="D119" s="11" t="str">
        <f>Data!G117</f>
        <v>Energía de la batería del vehículo eléctrico</v>
      </c>
      <c r="E119" s="11" t="str">
        <f>Data!J117</f>
        <v>Telematics Device</v>
      </c>
      <c r="F119" s="13">
        <f>Data!L117</f>
        <v>0</v>
      </c>
      <c r="G119" s="11" t="str">
        <f>CONCATENATE(Data!N117," ",Data!P117)</f>
        <v>30195 W</v>
      </c>
    </row>
    <row r="120" spans="1:7" x14ac:dyDescent="0.3">
      <c r="A120" s="11" t="str">
        <f>Data!A118</f>
        <v>NISSAN LEAF 299-1018</v>
      </c>
      <c r="B120" s="11" t="str">
        <f>Data!D118</f>
        <v>Vehicle, Battery Electric Vehicle</v>
      </c>
      <c r="C120" s="12">
        <f>Data!F118</f>
        <v>46087.369515601851</v>
      </c>
      <c r="D120" s="11" t="str">
        <f>Data!G118</f>
        <v>Energía de la batería del vehículo eléctrico</v>
      </c>
      <c r="E120" s="11" t="str">
        <f>Data!J118</f>
        <v>Telematics Device</v>
      </c>
      <c r="F120" s="13">
        <f>Data!L118</f>
        <v>0</v>
      </c>
      <c r="G120" s="11" t="str">
        <f>CONCATENATE(Data!N118," ",Data!P118)</f>
        <v>23907 W</v>
      </c>
    </row>
    <row r="121" spans="1:7" x14ac:dyDescent="0.3">
      <c r="A121" s="11" t="str">
        <f>Data!A119</f>
        <v>NISSAN LEAF 299-1018</v>
      </c>
      <c r="B121" s="11" t="str">
        <f>Data!D119</f>
        <v>Vehicle, Battery Electric Vehicle</v>
      </c>
      <c r="C121" s="12">
        <f>Data!F119</f>
        <v>46087.369527175928</v>
      </c>
      <c r="D121" s="11" t="str">
        <f>Data!G119</f>
        <v>Energía de la batería del vehículo eléctrico</v>
      </c>
      <c r="E121" s="11" t="str">
        <f>Data!J119</f>
        <v>Telematics Device</v>
      </c>
      <c r="F121" s="13">
        <f>Data!L119</f>
        <v>0</v>
      </c>
      <c r="G121" s="11" t="str">
        <f>CONCATENATE(Data!N119," ",Data!P119)</f>
        <v>-13322 W</v>
      </c>
    </row>
    <row r="122" spans="1:7" x14ac:dyDescent="0.3">
      <c r="A122" s="11" t="str">
        <f>Data!A120</f>
        <v>NISSAN LEAF 299-1018</v>
      </c>
      <c r="B122" s="11" t="str">
        <f>Data!D120</f>
        <v>Vehicle, Battery Electric Vehicle</v>
      </c>
      <c r="C122" s="12">
        <f>Data!F120</f>
        <v>46087.3696203125</v>
      </c>
      <c r="D122" s="11" t="str">
        <f>Data!G120</f>
        <v>Energía de la batería del vehículo eléctrico</v>
      </c>
      <c r="E122" s="11" t="str">
        <f>Data!J120</f>
        <v>Telematics Device</v>
      </c>
      <c r="F122" s="13">
        <f>Data!L120</f>
        <v>0</v>
      </c>
      <c r="G122" s="11" t="str">
        <f>CONCATENATE(Data!N120," ",Data!P120)</f>
        <v>34169 W</v>
      </c>
    </row>
    <row r="123" spans="1:7" x14ac:dyDescent="0.3">
      <c r="A123" s="11" t="str">
        <f>Data!A121</f>
        <v>NISSAN LEAF 299-1018</v>
      </c>
      <c r="B123" s="11" t="str">
        <f>Data!D121</f>
        <v>Vehicle, Battery Electric Vehicle</v>
      </c>
      <c r="C123" s="12">
        <f>Data!F121</f>
        <v>46087.369643645834</v>
      </c>
      <c r="D123" s="11" t="str">
        <f>Data!G121</f>
        <v>Energía de la batería del vehículo eléctrico</v>
      </c>
      <c r="E123" s="11" t="str">
        <f>Data!J121</f>
        <v>Telematics Device</v>
      </c>
      <c r="F123" s="13">
        <f>Data!L121</f>
        <v>0</v>
      </c>
      <c r="G123" s="11" t="str">
        <f>CONCATENATE(Data!N121," ",Data!P121)</f>
        <v>-18200 W</v>
      </c>
    </row>
    <row r="124" spans="1:7" x14ac:dyDescent="0.3">
      <c r="A124" s="11" t="str">
        <f>Data!A122</f>
        <v>NISSAN LEAF 299-1018</v>
      </c>
      <c r="B124" s="11" t="str">
        <f>Data!D122</f>
        <v>Vehicle, Battery Electric Vehicle</v>
      </c>
      <c r="C124" s="12">
        <f>Data!F122</f>
        <v>46087.369771412035</v>
      </c>
      <c r="D124" s="11" t="str">
        <f>Data!G122</f>
        <v>Energía de la batería del vehículo eléctrico</v>
      </c>
      <c r="E124" s="11" t="str">
        <f>Data!J122</f>
        <v>Telematics Device</v>
      </c>
      <c r="F124" s="13">
        <f>Data!L122</f>
        <v>0</v>
      </c>
      <c r="G124" s="11" t="str">
        <f>CONCATENATE(Data!N122," ",Data!P122)</f>
        <v>41358 W</v>
      </c>
    </row>
    <row r="125" spans="1:7" x14ac:dyDescent="0.3">
      <c r="A125" s="11" t="str">
        <f>Data!A123</f>
        <v>NISSAN LEAF 299-1018</v>
      </c>
      <c r="B125" s="11" t="str">
        <f>Data!D123</f>
        <v>Vehicle, Battery Electric Vehicle</v>
      </c>
      <c r="C125" s="12">
        <f>Data!F123</f>
        <v>46087.369933946757</v>
      </c>
      <c r="D125" s="11" t="str">
        <f>Data!G123</f>
        <v>Energía de la batería del vehículo eléctrico</v>
      </c>
      <c r="E125" s="11" t="str">
        <f>Data!J123</f>
        <v>Telematics Device</v>
      </c>
      <c r="F125" s="13">
        <f>Data!L123</f>
        <v>0</v>
      </c>
      <c r="G125" s="11" t="str">
        <f>CONCATENATE(Data!N123," ",Data!P123)</f>
        <v>-9451 W</v>
      </c>
    </row>
    <row r="126" spans="1:7" x14ac:dyDescent="0.3">
      <c r="A126" s="11" t="str">
        <f>Data!A124</f>
        <v>NISSAN LEAF 299-1018</v>
      </c>
      <c r="B126" s="11" t="str">
        <f>Data!D124</f>
        <v>Vehicle, Battery Electric Vehicle</v>
      </c>
      <c r="C126" s="12">
        <f>Data!F124</f>
        <v>46087.370039328707</v>
      </c>
      <c r="D126" s="11" t="str">
        <f>Data!G124</f>
        <v>Estado de carga genérico</v>
      </c>
      <c r="E126" s="11" t="str">
        <f>Data!J124</f>
        <v>Telematics Device</v>
      </c>
      <c r="F126" s="13">
        <f>Data!L124</f>
        <v>0</v>
      </c>
      <c r="G126" s="11" t="str">
        <f>CONCATENATE(Data!N124," ",Data!P124)</f>
        <v>73.17 %</v>
      </c>
    </row>
    <row r="127" spans="1:7" x14ac:dyDescent="0.3">
      <c r="A127" s="11" t="str">
        <f>Data!A125</f>
        <v>NISSAN LEAF 299-1018</v>
      </c>
      <c r="B127" s="11" t="str">
        <f>Data!D125</f>
        <v>Vehicle, Battery Electric Vehicle</v>
      </c>
      <c r="C127" s="12">
        <f>Data!F125</f>
        <v>46087.370154756944</v>
      </c>
      <c r="D127" s="11" t="str">
        <f>Data!G125</f>
        <v>Energía de la batería del vehículo eléctrico</v>
      </c>
      <c r="E127" s="11" t="str">
        <f>Data!J125</f>
        <v>Telematics Device</v>
      </c>
      <c r="F127" s="13">
        <f>Data!L125</f>
        <v>0</v>
      </c>
      <c r="G127" s="11" t="str">
        <f>CONCATENATE(Data!N125," ",Data!P125)</f>
        <v>-9447 W</v>
      </c>
    </row>
    <row r="128" spans="1:7" x14ac:dyDescent="0.3">
      <c r="A128" s="11" t="str">
        <f>Data!A126</f>
        <v>NISSAN LEAF 299-1018</v>
      </c>
      <c r="B128" s="11" t="str">
        <f>Data!D126</f>
        <v>Vehicle, Battery Electric Vehicle</v>
      </c>
      <c r="C128" s="12">
        <f>Data!F126</f>
        <v>46087.370212939815</v>
      </c>
      <c r="D128" s="11" t="str">
        <f>Data!G126</f>
        <v>Energía de la batería del vehículo eléctrico</v>
      </c>
      <c r="E128" s="11" t="str">
        <f>Data!J126</f>
        <v>Telematics Device</v>
      </c>
      <c r="F128" s="13">
        <f>Data!L126</f>
        <v>0</v>
      </c>
      <c r="G128" s="11" t="str">
        <f>CONCATENATE(Data!N126," ",Data!P126)</f>
        <v>23184 W</v>
      </c>
    </row>
    <row r="129" spans="1:7" x14ac:dyDescent="0.3">
      <c r="A129" s="11" t="str">
        <f>Data!A127</f>
        <v>NISSAN LEAF 299-1018</v>
      </c>
      <c r="B129" s="11" t="str">
        <f>Data!D127</f>
        <v>Vehicle, Battery Electric Vehicle</v>
      </c>
      <c r="C129" s="12">
        <f>Data!F127</f>
        <v>46087.370224560182</v>
      </c>
      <c r="D129" s="11" t="str">
        <f>Data!G127</f>
        <v>Energía de la batería del vehículo eléctrico</v>
      </c>
      <c r="E129" s="11" t="str">
        <f>Data!J127</f>
        <v>Telematics Device</v>
      </c>
      <c r="F129" s="13">
        <f>Data!L127</f>
        <v>0</v>
      </c>
      <c r="G129" s="11" t="str">
        <f>CONCATENATE(Data!N127," ",Data!P127)</f>
        <v>-9685 W</v>
      </c>
    </row>
    <row r="130" spans="1:7" x14ac:dyDescent="0.3">
      <c r="A130" s="11" t="str">
        <f>Data!A128</f>
        <v>NISSAN LEAF 299-1018</v>
      </c>
      <c r="B130" s="11" t="str">
        <f>Data!D128</f>
        <v>Vehicle, Battery Electric Vehicle</v>
      </c>
      <c r="C130" s="12">
        <f>Data!F128</f>
        <v>46087.370480324178</v>
      </c>
      <c r="D130" s="11" t="str">
        <f>Data!G128</f>
        <v>Energía de la batería del vehículo eléctrico</v>
      </c>
      <c r="E130" s="11" t="str">
        <f>Data!J128</f>
        <v>Telematics Device</v>
      </c>
      <c r="F130" s="13">
        <f>Data!L128</f>
        <v>0</v>
      </c>
      <c r="G130" s="11" t="str">
        <f>CONCATENATE(Data!N128," ",Data!P128)</f>
        <v>21990 W</v>
      </c>
    </row>
    <row r="131" spans="1:7" x14ac:dyDescent="0.3">
      <c r="A131" s="11" t="str">
        <f>Data!A129</f>
        <v>NISSAN LEAF 299-1018</v>
      </c>
      <c r="B131" s="11" t="str">
        <f>Data!D129</f>
        <v>Vehicle, Battery Electric Vehicle</v>
      </c>
      <c r="C131" s="12">
        <f>Data!F129</f>
        <v>46087.370491944443</v>
      </c>
      <c r="D131" s="11" t="str">
        <f>Data!G129</f>
        <v>Energía de la batería del vehículo eléctrico</v>
      </c>
      <c r="E131" s="11" t="str">
        <f>Data!J129</f>
        <v>Telematics Device</v>
      </c>
      <c r="F131" s="13">
        <f>Data!L129</f>
        <v>0</v>
      </c>
      <c r="G131" s="11" t="str">
        <f>CONCATENATE(Data!N129," ",Data!P129)</f>
        <v>-10797 W</v>
      </c>
    </row>
    <row r="132" spans="1:7" x14ac:dyDescent="0.3">
      <c r="A132" s="11" t="str">
        <f>Data!A130</f>
        <v>NISSAN LEAF 299-1018</v>
      </c>
      <c r="B132" s="11" t="str">
        <f>Data!D130</f>
        <v>Vehicle, Battery Electric Vehicle</v>
      </c>
      <c r="C132" s="12">
        <f>Data!F130</f>
        <v>46087.370736990742</v>
      </c>
      <c r="D132" s="11" t="str">
        <f>Data!G130</f>
        <v>Energía de la batería del vehículo eléctrico</v>
      </c>
      <c r="E132" s="11" t="str">
        <f>Data!J130</f>
        <v>Telematics Device</v>
      </c>
      <c r="F132" s="13">
        <f>Data!L130</f>
        <v>0</v>
      </c>
      <c r="G132" s="11" t="str">
        <f>CONCATENATE(Data!N130," ",Data!P130)</f>
        <v>31261 W</v>
      </c>
    </row>
    <row r="133" spans="1:7" x14ac:dyDescent="0.3">
      <c r="A133" s="11" t="str">
        <f>Data!A131</f>
        <v>NISSAN LEAF 299-1018</v>
      </c>
      <c r="B133" s="11" t="str">
        <f>Data!D131</f>
        <v>Vehicle, Battery Electric Vehicle</v>
      </c>
      <c r="C133" s="12">
        <f>Data!F131</f>
        <v>46087.370783506944</v>
      </c>
      <c r="D133" s="11" t="str">
        <f>Data!G131</f>
        <v>Energía de la batería del vehículo eléctrico</v>
      </c>
      <c r="E133" s="11" t="str">
        <f>Data!J131</f>
        <v>Telematics Device</v>
      </c>
      <c r="F133" s="13">
        <f>Data!L131</f>
        <v>0</v>
      </c>
      <c r="G133" s="11" t="str">
        <f>CONCATENATE(Data!N131," ",Data!P131)</f>
        <v>29080 W</v>
      </c>
    </row>
    <row r="134" spans="1:7" x14ac:dyDescent="0.3">
      <c r="A134" s="11" t="str">
        <f>Data!A132</f>
        <v>NISSAN LEAF 299-1018</v>
      </c>
      <c r="B134" s="11" t="str">
        <f>Data!D132</f>
        <v>Vehicle, Battery Electric Vehicle</v>
      </c>
      <c r="C134" s="12">
        <f>Data!F132</f>
        <v>46087.370795173614</v>
      </c>
      <c r="D134" s="11" t="str">
        <f>Data!G132</f>
        <v>Energía de la batería del vehículo eléctrico</v>
      </c>
      <c r="E134" s="11" t="str">
        <f>Data!J132</f>
        <v>Telematics Device</v>
      </c>
      <c r="F134" s="13">
        <f>Data!L132</f>
        <v>0</v>
      </c>
      <c r="G134" s="11" t="str">
        <f>CONCATENATE(Data!N132," ",Data!P132)</f>
        <v>-12722 W</v>
      </c>
    </row>
    <row r="135" spans="1:7" x14ac:dyDescent="0.3">
      <c r="A135" s="11" t="str">
        <f>Data!A133</f>
        <v>NISSAN LEAF 299-1018</v>
      </c>
      <c r="B135" s="11" t="str">
        <f>Data!D133</f>
        <v>Vehicle, Battery Electric Vehicle</v>
      </c>
      <c r="C135" s="12">
        <f>Data!F133</f>
        <v>46087.370853275461</v>
      </c>
      <c r="D135" s="11" t="str">
        <f>Data!G133</f>
        <v>Energía de la batería del vehículo eléctrico</v>
      </c>
      <c r="E135" s="11" t="str">
        <f>Data!J133</f>
        <v>Telematics Device</v>
      </c>
      <c r="F135" s="13">
        <f>Data!L133</f>
        <v>0</v>
      </c>
      <c r="G135" s="11" t="str">
        <f>CONCATENATE(Data!N133," ",Data!P133)</f>
        <v>15168 W</v>
      </c>
    </row>
    <row r="136" spans="1:7" x14ac:dyDescent="0.3">
      <c r="A136" s="11" t="str">
        <f>Data!A134</f>
        <v>NISSAN LEAF 299-1018</v>
      </c>
      <c r="B136" s="11" t="str">
        <f>Data!D134</f>
        <v>Vehicle, Battery Electric Vehicle</v>
      </c>
      <c r="C136" s="12">
        <f>Data!F134</f>
        <v>46087.370899571761</v>
      </c>
      <c r="D136" s="11" t="str">
        <f>Data!G134</f>
        <v>Energía de la batería del vehículo eléctrico</v>
      </c>
      <c r="E136" s="11" t="str">
        <f>Data!J134</f>
        <v>Telematics Device</v>
      </c>
      <c r="F136" s="13">
        <f>Data!L134</f>
        <v>0</v>
      </c>
      <c r="G136" s="11" t="str">
        <f>CONCATENATE(Data!N134," ",Data!P134)</f>
        <v>-37740 W</v>
      </c>
    </row>
    <row r="137" spans="1:7" x14ac:dyDescent="0.3">
      <c r="A137" s="11" t="str">
        <f>Data!A135</f>
        <v>NISSAN LEAF 299-1018</v>
      </c>
      <c r="B137" s="11" t="str">
        <f>Data!D135</f>
        <v>Vehicle, Battery Electric Vehicle</v>
      </c>
      <c r="C137" s="12">
        <f>Data!F135</f>
        <v>46087.371015891207</v>
      </c>
      <c r="D137" s="11" t="str">
        <f>Data!G135</f>
        <v>Energía de la batería del vehículo eléctrico</v>
      </c>
      <c r="E137" s="11" t="str">
        <f>Data!J135</f>
        <v>Telematics Device</v>
      </c>
      <c r="F137" s="13">
        <f>Data!L135</f>
        <v>0</v>
      </c>
      <c r="G137" s="11" t="str">
        <f>CONCATENATE(Data!N135," ",Data!P135)</f>
        <v>-15417 W</v>
      </c>
    </row>
    <row r="138" spans="1:7" x14ac:dyDescent="0.3">
      <c r="A138" s="11" t="str">
        <f>Data!A136</f>
        <v>NISSAN LEAF 299-1018</v>
      </c>
      <c r="B138" s="11" t="str">
        <f>Data!D136</f>
        <v>Vehicle, Battery Electric Vehicle</v>
      </c>
      <c r="C138" s="12">
        <f>Data!F136</f>
        <v>46087.371027696761</v>
      </c>
      <c r="D138" s="11" t="str">
        <f>Data!G136</f>
        <v>Energía de la batería del vehículo eléctrico</v>
      </c>
      <c r="E138" s="11" t="str">
        <f>Data!J136</f>
        <v>Telematics Device</v>
      </c>
      <c r="F138" s="13">
        <f>Data!L136</f>
        <v>0</v>
      </c>
      <c r="G138" s="11" t="str">
        <f>CONCATENATE(Data!N136," ",Data!P136)</f>
        <v>-42908 W</v>
      </c>
    </row>
    <row r="139" spans="1:7" x14ac:dyDescent="0.3">
      <c r="A139" s="11" t="str">
        <f>Data!A137</f>
        <v>NISSAN LEAF 299-1018</v>
      </c>
      <c r="B139" s="11" t="str">
        <f>Data!D137</f>
        <v>Vehicle, Battery Electric Vehicle</v>
      </c>
      <c r="C139" s="12">
        <f>Data!F137</f>
        <v>46087.371062650462</v>
      </c>
      <c r="D139" s="11" t="str">
        <f>Data!G137</f>
        <v>Energía de la batería del vehículo eléctrico</v>
      </c>
      <c r="E139" s="11" t="str">
        <f>Data!J137</f>
        <v>Telematics Device</v>
      </c>
      <c r="F139" s="13">
        <f>Data!L137</f>
        <v>0</v>
      </c>
      <c r="G139" s="11" t="str">
        <f>CONCATENATE(Data!N137," ",Data!P137)</f>
        <v>-1114 W</v>
      </c>
    </row>
    <row r="140" spans="1:7" x14ac:dyDescent="0.3">
      <c r="A140" s="11" t="str">
        <f>Data!A138</f>
        <v>NISSAN LEAF 299-1018</v>
      </c>
      <c r="B140" s="11" t="str">
        <f>Data!D138</f>
        <v>Vehicle, Battery Electric Vehicle</v>
      </c>
      <c r="C140" s="12">
        <f>Data!F138</f>
        <v>46087.371167349535</v>
      </c>
      <c r="D140" s="11" t="str">
        <f>Data!G138</f>
        <v>Energía de la batería del vehículo eléctrico</v>
      </c>
      <c r="E140" s="11" t="str">
        <f>Data!J138</f>
        <v>Telematics Device</v>
      </c>
      <c r="F140" s="13">
        <f>Data!L138</f>
        <v>0</v>
      </c>
      <c r="G140" s="11" t="str">
        <f>CONCATENATE(Data!N138," ",Data!P138)</f>
        <v>43856 W</v>
      </c>
    </row>
    <row r="141" spans="1:7" x14ac:dyDescent="0.3">
      <c r="A141" s="11" t="str">
        <f>Data!A139</f>
        <v>NISSAN LEAF 299-1018</v>
      </c>
      <c r="B141" s="11" t="str">
        <f>Data!D139</f>
        <v>Vehicle, Battery Electric Vehicle</v>
      </c>
      <c r="C141" s="12">
        <f>Data!F139</f>
        <v>46087.37129534722</v>
      </c>
      <c r="D141" s="11" t="str">
        <f>Data!G139</f>
        <v>Energía de la batería del vehículo eléctrico</v>
      </c>
      <c r="E141" s="11" t="str">
        <f>Data!J139</f>
        <v>Telematics Device</v>
      </c>
      <c r="F141" s="13">
        <f>Data!L139</f>
        <v>0</v>
      </c>
      <c r="G141" s="11" t="str">
        <f>CONCATENATE(Data!N139," ",Data!P139)</f>
        <v>-11607 W</v>
      </c>
    </row>
    <row r="142" spans="1:7" x14ac:dyDescent="0.3">
      <c r="A142" s="11" t="str">
        <f>Data!A140</f>
        <v>NISSAN LEAF 299-1018</v>
      </c>
      <c r="B142" s="11" t="str">
        <f>Data!D140</f>
        <v>Vehicle, Battery Electric Vehicle</v>
      </c>
      <c r="C142" s="12">
        <f>Data!F140</f>
        <v>46087.371458287038</v>
      </c>
      <c r="D142" s="11" t="str">
        <f>Data!G140</f>
        <v>Energía de la batería del vehículo eléctrico</v>
      </c>
      <c r="E142" s="11" t="str">
        <f>Data!J140</f>
        <v>Telematics Device</v>
      </c>
      <c r="F142" s="13">
        <f>Data!L140</f>
        <v>0</v>
      </c>
      <c r="G142" s="11" t="str">
        <f>CONCATENATE(Data!N140," ",Data!P140)</f>
        <v>-32394 W</v>
      </c>
    </row>
    <row r="143" spans="1:7" x14ac:dyDescent="0.3">
      <c r="A143" s="11" t="str">
        <f>Data!A141</f>
        <v>NISSAN LEAF 299-1018</v>
      </c>
      <c r="B143" s="11" t="str">
        <f>Data!D141</f>
        <v>Vehicle, Battery Electric Vehicle</v>
      </c>
      <c r="C143" s="12">
        <f>Data!F141</f>
        <v>46087.371563043984</v>
      </c>
      <c r="D143" s="11" t="str">
        <f>Data!G141</f>
        <v>Energía de la batería del vehículo eléctrico</v>
      </c>
      <c r="E143" s="11" t="str">
        <f>Data!J141</f>
        <v>Telematics Device</v>
      </c>
      <c r="F143" s="13">
        <f>Data!L141</f>
        <v>0</v>
      </c>
      <c r="G143" s="11" t="str">
        <f>CONCATENATE(Data!N141," ",Data!P141)</f>
        <v>3890 W</v>
      </c>
    </row>
    <row r="144" spans="1:7" x14ac:dyDescent="0.3">
      <c r="A144" s="11" t="str">
        <f>Data!A142</f>
        <v>NISSAN LEAF 299-1018</v>
      </c>
      <c r="B144" s="11" t="str">
        <f>Data!D142</f>
        <v>Vehicle, Battery Electric Vehicle</v>
      </c>
      <c r="C144" s="12">
        <f>Data!F142</f>
        <v>46087.371714363428</v>
      </c>
      <c r="D144" s="11" t="str">
        <f>Data!G142</f>
        <v>Energía de la batería del vehículo eléctrico</v>
      </c>
      <c r="E144" s="11" t="str">
        <f>Data!J142</f>
        <v>Telematics Device</v>
      </c>
      <c r="F144" s="13">
        <f>Data!L142</f>
        <v>0</v>
      </c>
      <c r="G144" s="11" t="str">
        <f>CONCATENATE(Data!N142," ",Data!P142)</f>
        <v>-26120 W</v>
      </c>
    </row>
    <row r="145" spans="1:7" x14ac:dyDescent="0.3">
      <c r="A145" s="11" t="str">
        <f>Data!A143</f>
        <v>NISSAN LEAF 299-1018</v>
      </c>
      <c r="B145" s="11" t="str">
        <f>Data!D143</f>
        <v>Vehicle, Battery Electric Vehicle</v>
      </c>
      <c r="C145" s="12">
        <f>Data!F143</f>
        <v>46087.372306585647</v>
      </c>
      <c r="D145" s="11" t="str">
        <f>Data!G143</f>
        <v>Energía de la batería del vehículo eléctrico</v>
      </c>
      <c r="E145" s="11" t="str">
        <f>Data!J143</f>
        <v>Telematics Device</v>
      </c>
      <c r="F145" s="13">
        <f>Data!L143</f>
        <v>0</v>
      </c>
      <c r="G145" s="11" t="str">
        <f>CONCATENATE(Data!N143," ",Data!P143)</f>
        <v>34451 W</v>
      </c>
    </row>
    <row r="146" spans="1:7" x14ac:dyDescent="0.3">
      <c r="A146" s="11" t="str">
        <f>Data!A144</f>
        <v>NISSAN LEAF 299-1018</v>
      </c>
      <c r="B146" s="11" t="str">
        <f>Data!D144</f>
        <v>Vehicle, Battery Electric Vehicle</v>
      </c>
      <c r="C146" s="12">
        <f>Data!F144</f>
        <v>46087.372399409724</v>
      </c>
      <c r="D146" s="11" t="str">
        <f>Data!G144</f>
        <v>Energía de la batería del vehículo eléctrico</v>
      </c>
      <c r="E146" s="11" t="str">
        <f>Data!J144</f>
        <v>Telematics Device</v>
      </c>
      <c r="F146" s="13">
        <f>Data!L144</f>
        <v>0</v>
      </c>
      <c r="G146" s="11" t="str">
        <f>CONCATENATE(Data!N144," ",Data!P144)</f>
        <v>-4243 W</v>
      </c>
    </row>
    <row r="147" spans="1:7" x14ac:dyDescent="0.3">
      <c r="A147" s="11" t="str">
        <f>Data!A145</f>
        <v>NISSAN LEAF 299-1018</v>
      </c>
      <c r="B147" s="11" t="str">
        <f>Data!D145</f>
        <v>Vehicle, Battery Electric Vehicle</v>
      </c>
      <c r="C147" s="12">
        <f>Data!F145</f>
        <v>46087.372434444442</v>
      </c>
      <c r="D147" s="11" t="str">
        <f>Data!G145</f>
        <v>Energía de la batería del vehículo eléctrico</v>
      </c>
      <c r="E147" s="11" t="str">
        <f>Data!J145</f>
        <v>Telematics Device</v>
      </c>
      <c r="F147" s="13">
        <f>Data!L145</f>
        <v>0</v>
      </c>
      <c r="G147" s="11" t="str">
        <f>CONCATENATE(Data!N145," ",Data!P145)</f>
        <v>29422 W</v>
      </c>
    </row>
    <row r="148" spans="1:7" x14ac:dyDescent="0.3">
      <c r="A148" s="11" t="str">
        <f>Data!A146</f>
        <v>NISSAN LEAF 299-1018</v>
      </c>
      <c r="B148" s="11" t="str">
        <f>Data!D146</f>
        <v>Vehicle, Battery Electric Vehicle</v>
      </c>
      <c r="C148" s="12">
        <f>Data!F146</f>
        <v>46087.372480879632</v>
      </c>
      <c r="D148" s="11" t="str">
        <f>Data!G146</f>
        <v>Energía de la batería del vehículo eléctrico</v>
      </c>
      <c r="E148" s="11" t="str">
        <f>Data!J146</f>
        <v>Telematics Device</v>
      </c>
      <c r="F148" s="13">
        <f>Data!L146</f>
        <v>0</v>
      </c>
      <c r="G148" s="11" t="str">
        <f>CONCATENATE(Data!N146," ",Data!P146)</f>
        <v>-6570 W</v>
      </c>
    </row>
    <row r="149" spans="1:7" x14ac:dyDescent="0.3">
      <c r="A149" s="11" t="str">
        <f>Data!A147</f>
        <v>NISSAN LEAF 299-1018</v>
      </c>
      <c r="B149" s="11" t="str">
        <f>Data!D147</f>
        <v>Vehicle, Battery Electric Vehicle</v>
      </c>
      <c r="C149" s="12">
        <f>Data!F147</f>
        <v>46087.372631921295</v>
      </c>
      <c r="D149" s="11" t="str">
        <f>Data!G147</f>
        <v>Energía de la batería del vehículo eléctrico</v>
      </c>
      <c r="E149" s="11" t="str">
        <f>Data!J147</f>
        <v>Telematics Device</v>
      </c>
      <c r="F149" s="13">
        <f>Data!L147</f>
        <v>0</v>
      </c>
      <c r="G149" s="11" t="str">
        <f>CONCATENATE(Data!N147," ",Data!P147)</f>
        <v>31668 W</v>
      </c>
    </row>
    <row r="150" spans="1:7" x14ac:dyDescent="0.3">
      <c r="A150" s="11" t="str">
        <f>Data!A148</f>
        <v>NISSAN LEAF 299-1018</v>
      </c>
      <c r="B150" s="11" t="str">
        <f>Data!D148</f>
        <v>Vehicle, Battery Electric Vehicle</v>
      </c>
      <c r="C150" s="12">
        <f>Data!F148</f>
        <v>46087.372841076387</v>
      </c>
      <c r="D150" s="11" t="str">
        <f>Data!G148</f>
        <v>Energía de la batería del vehículo eléctrico</v>
      </c>
      <c r="E150" s="11" t="str">
        <f>Data!J148</f>
        <v>Telematics Device</v>
      </c>
      <c r="F150" s="13">
        <f>Data!L148</f>
        <v>0</v>
      </c>
      <c r="G150" s="11" t="str">
        <f>CONCATENATE(Data!N148," ",Data!P148)</f>
        <v>-18952 W</v>
      </c>
    </row>
    <row r="151" spans="1:7" x14ac:dyDescent="0.3">
      <c r="A151" s="11" t="str">
        <f>Data!A149</f>
        <v>NISSAN LEAF 299-1018</v>
      </c>
      <c r="B151" s="11" t="str">
        <f>Data!D149</f>
        <v>Vehicle, Battery Electric Vehicle</v>
      </c>
      <c r="C151" s="12">
        <f>Data!F149</f>
        <v>46087.37300378472</v>
      </c>
      <c r="D151" s="11" t="str">
        <f>Data!G149</f>
        <v>Energía de la batería del vehículo eléctrico</v>
      </c>
      <c r="E151" s="11" t="str">
        <f>Data!J149</f>
        <v>Telematics Device</v>
      </c>
      <c r="F151" s="13">
        <f>Data!L149</f>
        <v>0</v>
      </c>
      <c r="G151" s="11" t="str">
        <f>CONCATENATE(Data!N149," ",Data!P149)</f>
        <v>32169 W</v>
      </c>
    </row>
    <row r="152" spans="1:7" x14ac:dyDescent="0.3">
      <c r="A152" s="11" t="str">
        <f>Data!A150</f>
        <v>NISSAN LEAF 299-1018</v>
      </c>
      <c r="B152" s="11" t="str">
        <f>Data!D150</f>
        <v>Vehicle, Battery Electric Vehicle</v>
      </c>
      <c r="C152" s="12">
        <f>Data!F150</f>
        <v>46087.373085254629</v>
      </c>
      <c r="D152" s="11" t="str">
        <f>Data!G150</f>
        <v>Energía de la batería del vehículo eléctrico</v>
      </c>
      <c r="E152" s="11" t="str">
        <f>Data!J150</f>
        <v>Telematics Device</v>
      </c>
      <c r="F152" s="13">
        <f>Data!L150</f>
        <v>0</v>
      </c>
      <c r="G152" s="11" t="str">
        <f>CONCATENATE(Data!N150," ",Data!P150)</f>
        <v>-11239 W</v>
      </c>
    </row>
    <row r="153" spans="1:7" x14ac:dyDescent="0.3">
      <c r="A153" s="11" t="str">
        <f>Data!A151</f>
        <v>NISSAN LEAF 299-1018</v>
      </c>
      <c r="B153" s="11" t="str">
        <f>Data!D151</f>
        <v>Vehicle, Battery Electric Vehicle</v>
      </c>
      <c r="C153" s="12">
        <f>Data!F151</f>
        <v>46087.373120115742</v>
      </c>
      <c r="D153" s="11" t="str">
        <f>Data!G151</f>
        <v>Energía de la batería del vehículo eléctrico</v>
      </c>
      <c r="E153" s="11" t="str">
        <f>Data!J151</f>
        <v>Telematics Device</v>
      </c>
      <c r="F153" s="13">
        <f>Data!L151</f>
        <v>0</v>
      </c>
      <c r="G153" s="11" t="str">
        <f>CONCATENATE(Data!N151," ",Data!P151)</f>
        <v>25915 W</v>
      </c>
    </row>
    <row r="154" spans="1:7" x14ac:dyDescent="0.3">
      <c r="A154" s="11" t="str">
        <f>Data!A152</f>
        <v>NISSAN LEAF 299-1018</v>
      </c>
      <c r="B154" s="11" t="str">
        <f>Data!D152</f>
        <v>Vehicle, Battery Electric Vehicle</v>
      </c>
      <c r="C154" s="12">
        <f>Data!F152</f>
        <v>46087.373178298614</v>
      </c>
      <c r="D154" s="11" t="str">
        <f>Data!G152</f>
        <v>Energía de la batería del vehículo eléctrico</v>
      </c>
      <c r="E154" s="11" t="str">
        <f>Data!J152</f>
        <v>Telematics Device</v>
      </c>
      <c r="F154" s="13">
        <f>Data!L152</f>
        <v>0</v>
      </c>
      <c r="G154" s="11" t="str">
        <f>CONCATENATE(Data!N152," ",Data!P152)</f>
        <v>-11830 W</v>
      </c>
    </row>
    <row r="155" spans="1:7" x14ac:dyDescent="0.3">
      <c r="A155" s="11" t="str">
        <f>Data!A153</f>
        <v>NISSAN LEAF 299-1018</v>
      </c>
      <c r="B155" s="11" t="str">
        <f>Data!D153</f>
        <v>Vehicle, Battery Electric Vehicle</v>
      </c>
      <c r="C155" s="12">
        <f>Data!F153</f>
        <v>46087.373294502315</v>
      </c>
      <c r="D155" s="11" t="str">
        <f>Data!G153</f>
        <v>Energía de la batería del vehículo eléctrico</v>
      </c>
      <c r="E155" s="11" t="str">
        <f>Data!J153</f>
        <v>Telematics Device</v>
      </c>
      <c r="F155" s="13">
        <f>Data!L153</f>
        <v>0</v>
      </c>
      <c r="G155" s="11" t="str">
        <f>CONCATENATE(Data!N153," ",Data!P153)</f>
        <v>32488 W</v>
      </c>
    </row>
    <row r="156" spans="1:7" x14ac:dyDescent="0.3">
      <c r="A156" s="11" t="str">
        <f>Data!A154</f>
        <v>NISSAN LEAF 299-1018</v>
      </c>
      <c r="B156" s="11" t="str">
        <f>Data!D154</f>
        <v>Vehicle, Battery Electric Vehicle</v>
      </c>
      <c r="C156" s="12">
        <f>Data!F154</f>
        <v>46087.373306157409</v>
      </c>
      <c r="D156" s="11" t="str">
        <f>Data!G154</f>
        <v>Energía de la batería del vehículo eléctrico</v>
      </c>
      <c r="E156" s="11" t="str">
        <f>Data!J154</f>
        <v>Telematics Device</v>
      </c>
      <c r="F156" s="13">
        <f>Data!L154</f>
        <v>0</v>
      </c>
      <c r="G156" s="11" t="str">
        <f>CONCATENATE(Data!N154," ",Data!P154)</f>
        <v>-13956 W</v>
      </c>
    </row>
    <row r="157" spans="1:7" x14ac:dyDescent="0.3">
      <c r="A157" s="11" t="str">
        <f>Data!A155</f>
        <v>NISSAN LEAF 299-1018</v>
      </c>
      <c r="B157" s="11" t="str">
        <f>Data!D155</f>
        <v>Vehicle, Battery Electric Vehicle</v>
      </c>
      <c r="C157" s="12">
        <f>Data!F155</f>
        <v>46087.373515173611</v>
      </c>
      <c r="D157" s="11" t="str">
        <f>Data!G155</f>
        <v>Energía de la batería del vehículo eléctrico</v>
      </c>
      <c r="E157" s="11" t="str">
        <f>Data!J155</f>
        <v>Telematics Device</v>
      </c>
      <c r="F157" s="13">
        <f>Data!L155</f>
        <v>0</v>
      </c>
      <c r="G157" s="11" t="str">
        <f>CONCATENATE(Data!N155," ",Data!P155)</f>
        <v>8107 W</v>
      </c>
    </row>
    <row r="158" spans="1:7" x14ac:dyDescent="0.3">
      <c r="A158" s="11" t="str">
        <f>Data!A156</f>
        <v>NISSAN LEAF 299-1018</v>
      </c>
      <c r="B158" s="11" t="str">
        <f>Data!D156</f>
        <v>Vehicle, Battery Electric Vehicle</v>
      </c>
      <c r="C158" s="12">
        <f>Data!F156</f>
        <v>46087.373596458332</v>
      </c>
      <c r="D158" s="11" t="str">
        <f>Data!G156</f>
        <v>Energía de la batería del vehículo eléctrico</v>
      </c>
      <c r="E158" s="11" t="str">
        <f>Data!J156</f>
        <v>Telematics Device</v>
      </c>
      <c r="F158" s="13">
        <f>Data!L156</f>
        <v>0</v>
      </c>
      <c r="G158" s="11" t="str">
        <f>CONCATENATE(Data!N156," ",Data!P156)</f>
        <v>-43699 W</v>
      </c>
    </row>
    <row r="159" spans="1:7" x14ac:dyDescent="0.3">
      <c r="A159" s="11" t="str">
        <f>Data!A157</f>
        <v>NISSAN LEAF 299-1018</v>
      </c>
      <c r="B159" s="11" t="str">
        <f>Data!D157</f>
        <v>Vehicle, Battery Electric Vehicle</v>
      </c>
      <c r="C159" s="12">
        <f>Data!F157</f>
        <v>46087.373735983798</v>
      </c>
      <c r="D159" s="11" t="str">
        <f>Data!G157</f>
        <v>Energía de la batería del vehículo eléctrico</v>
      </c>
      <c r="E159" s="11" t="str">
        <f>Data!J157</f>
        <v>Telematics Device</v>
      </c>
      <c r="F159" s="13">
        <f>Data!L157</f>
        <v>0</v>
      </c>
      <c r="G159" s="11" t="str">
        <f>CONCATENATE(Data!N157," ",Data!P157)</f>
        <v>30686 W</v>
      </c>
    </row>
    <row r="160" spans="1:7" x14ac:dyDescent="0.3">
      <c r="A160" s="11" t="str">
        <f>Data!A158</f>
        <v>NISSAN LEAF 299-1018</v>
      </c>
      <c r="B160" s="11" t="str">
        <f>Data!D158</f>
        <v>Vehicle, Battery Electric Vehicle</v>
      </c>
      <c r="C160" s="12">
        <f>Data!F158</f>
        <v>46087.373770937498</v>
      </c>
      <c r="D160" s="11" t="str">
        <f>Data!G158</f>
        <v>Energía de la batería del vehículo eléctrico</v>
      </c>
      <c r="E160" s="11" t="str">
        <f>Data!J158</f>
        <v>Telematics Device</v>
      </c>
      <c r="F160" s="13">
        <f>Data!L158</f>
        <v>0</v>
      </c>
      <c r="G160" s="11" t="str">
        <f>CONCATENATE(Data!N158," ",Data!P158)</f>
        <v>-24723 W</v>
      </c>
    </row>
    <row r="161" spans="1:7" x14ac:dyDescent="0.3">
      <c r="A161" s="11" t="str">
        <f>Data!A159</f>
        <v>NISSAN LEAF 299-1018</v>
      </c>
      <c r="B161" s="11" t="str">
        <f>Data!D159</f>
        <v>Vehicle, Battery Electric Vehicle</v>
      </c>
      <c r="C161" s="12">
        <f>Data!F159</f>
        <v>46087.373829386575</v>
      </c>
      <c r="D161" s="11" t="str">
        <f>Data!G159</f>
        <v>Energía de la batería del vehículo eléctrico</v>
      </c>
      <c r="E161" s="11" t="str">
        <f>Data!J159</f>
        <v>Telematics Device</v>
      </c>
      <c r="F161" s="13">
        <f>Data!L159</f>
        <v>0</v>
      </c>
      <c r="G161" s="11" t="str">
        <f>CONCATENATE(Data!N159," ",Data!P159)</f>
        <v>20240 W</v>
      </c>
    </row>
    <row r="162" spans="1:7" x14ac:dyDescent="0.3">
      <c r="A162" s="11" t="str">
        <f>Data!A160</f>
        <v>NISSAN LEAF 299-1018</v>
      </c>
      <c r="B162" s="11" t="str">
        <f>Data!D160</f>
        <v>Vehicle, Battery Electric Vehicle</v>
      </c>
      <c r="C162" s="12">
        <f>Data!F160</f>
        <v>46087.374038634262</v>
      </c>
      <c r="D162" s="11" t="str">
        <f>Data!G160</f>
        <v>Energía de la batería del vehículo eléctrico</v>
      </c>
      <c r="E162" s="11" t="str">
        <f>Data!J160</f>
        <v>Telematics Device</v>
      </c>
      <c r="F162" s="13">
        <f>Data!L160</f>
        <v>0</v>
      </c>
      <c r="G162" s="11" t="str">
        <f>CONCATENATE(Data!N160," ",Data!P160)</f>
        <v>34350 W</v>
      </c>
    </row>
    <row r="163" spans="1:7" x14ac:dyDescent="0.3">
      <c r="A163" s="11" t="str">
        <f>Data!A161</f>
        <v>NISSAN LEAF 299-1018</v>
      </c>
      <c r="B163" s="11" t="str">
        <f>Data!D161</f>
        <v>Vehicle, Battery Electric Vehicle</v>
      </c>
      <c r="C163" s="12">
        <f>Data!F161</f>
        <v>46087.374073483799</v>
      </c>
      <c r="D163" s="11" t="str">
        <f>Data!G161</f>
        <v>Energía de la batería del vehículo eléctrico</v>
      </c>
      <c r="E163" s="11" t="str">
        <f>Data!J161</f>
        <v>Telematics Device</v>
      </c>
      <c r="F163" s="13">
        <f>Data!L161</f>
        <v>0</v>
      </c>
      <c r="G163" s="11" t="str">
        <f>CONCATENATE(Data!N161," ",Data!P161)</f>
        <v>-11056 W</v>
      </c>
    </row>
    <row r="164" spans="1:7" x14ac:dyDescent="0.3">
      <c r="A164" s="11" t="str">
        <f>Data!A162</f>
        <v>NISSAN LEAF 299-1018</v>
      </c>
      <c r="B164" s="11" t="str">
        <f>Data!D162</f>
        <v>Vehicle, Battery Electric Vehicle</v>
      </c>
      <c r="C164" s="12">
        <f>Data!F162</f>
        <v>46087.374214594907</v>
      </c>
      <c r="D164" s="11" t="str">
        <f>Data!G162</f>
        <v>Estado de carga genérico</v>
      </c>
      <c r="E164" s="11" t="str">
        <f>Data!J162</f>
        <v>Telematics Device</v>
      </c>
      <c r="F164" s="13">
        <f>Data!L162</f>
        <v>0</v>
      </c>
      <c r="G164" s="11" t="str">
        <f>CONCATENATE(Data!N162," ",Data!P162)</f>
        <v>72.075 %</v>
      </c>
    </row>
    <row r="165" spans="1:7" x14ac:dyDescent="0.3">
      <c r="A165" s="11" t="str">
        <f>Data!A163</f>
        <v>NISSAN LEAF 299-1018</v>
      </c>
      <c r="B165" s="11" t="str">
        <f>Data!D163</f>
        <v>Vehicle, Battery Electric Vehicle</v>
      </c>
      <c r="C165" s="12">
        <f>Data!F163</f>
        <v>46087.374259710647</v>
      </c>
      <c r="D165" s="11" t="str">
        <f>Data!G163</f>
        <v>Energía de la batería del vehículo eléctrico</v>
      </c>
      <c r="E165" s="11" t="str">
        <f>Data!J163</f>
        <v>Telematics Device</v>
      </c>
      <c r="F165" s="13">
        <f>Data!L163</f>
        <v>0</v>
      </c>
      <c r="G165" s="11" t="str">
        <f>CONCATENATE(Data!N163," ",Data!P163)</f>
        <v>-9409 W</v>
      </c>
    </row>
    <row r="166" spans="1:7" x14ac:dyDescent="0.3">
      <c r="A166" s="11" t="str">
        <f>Data!A164</f>
        <v>NISSAN LEAF 299-1018</v>
      </c>
      <c r="B166" s="11" t="str">
        <f>Data!D164</f>
        <v>Vehicle, Battery Electric Vehicle</v>
      </c>
      <c r="C166" s="12">
        <f>Data!F164</f>
        <v>46087.374317534719</v>
      </c>
      <c r="D166" s="11" t="str">
        <f>Data!G164</f>
        <v>Energía de la batería del vehículo eléctrico</v>
      </c>
      <c r="E166" s="11" t="str">
        <f>Data!J164</f>
        <v>Telematics Device</v>
      </c>
      <c r="F166" s="13">
        <f>Data!L164</f>
        <v>0</v>
      </c>
      <c r="G166" s="11" t="str">
        <f>CONCATENATE(Data!N164," ",Data!P164)</f>
        <v>23456 W</v>
      </c>
    </row>
    <row r="167" spans="1:7" x14ac:dyDescent="0.3">
      <c r="A167" s="11" t="str">
        <f>Data!A165</f>
        <v>NISSAN LEAF 299-1018</v>
      </c>
      <c r="B167" s="11" t="str">
        <f>Data!D165</f>
        <v>Vehicle, Battery Electric Vehicle</v>
      </c>
      <c r="C167" s="12">
        <f>Data!F165</f>
        <v>46087.374340868053</v>
      </c>
      <c r="D167" s="11" t="str">
        <f>Data!G165</f>
        <v>Energía de la batería del vehículo eléctrico</v>
      </c>
      <c r="E167" s="11" t="str">
        <f>Data!J165</f>
        <v>Telematics Device</v>
      </c>
      <c r="F167" s="13">
        <f>Data!L165</f>
        <v>0</v>
      </c>
      <c r="G167" s="11" t="str">
        <f>CONCATENATE(Data!N165," ",Data!P165)</f>
        <v>-16949 W</v>
      </c>
    </row>
    <row r="168" spans="1:7" x14ac:dyDescent="0.3">
      <c r="A168" s="11" t="str">
        <f>Data!A166</f>
        <v>NISSAN LEAF 299-1018</v>
      </c>
      <c r="B168" s="11" t="str">
        <f>Data!D166</f>
        <v>Vehicle, Battery Electric Vehicle</v>
      </c>
      <c r="C168" s="12">
        <f>Data!F166</f>
        <v>46087.374574467591</v>
      </c>
      <c r="D168" s="11" t="str">
        <f>Data!G166</f>
        <v>Energía de la batería del vehículo eléctrico</v>
      </c>
      <c r="E168" s="11" t="str">
        <f>Data!J166</f>
        <v>Telematics Device</v>
      </c>
      <c r="F168" s="13">
        <f>Data!L166</f>
        <v>0</v>
      </c>
      <c r="G168" s="11" t="str">
        <f>CONCATENATE(Data!N166," ",Data!P166)</f>
        <v>42580 W</v>
      </c>
    </row>
    <row r="169" spans="1:7" x14ac:dyDescent="0.3">
      <c r="A169" s="11" t="str">
        <f>Data!A167</f>
        <v>NISSAN LEAF 299-1018</v>
      </c>
      <c r="B169" s="11" t="str">
        <f>Data!D167</f>
        <v>Vehicle, Battery Electric Vehicle</v>
      </c>
      <c r="C169" s="12">
        <f>Data!F167</f>
        <v>46087.374679270833</v>
      </c>
      <c r="D169" s="11" t="str">
        <f>Data!G167</f>
        <v>Energía de la batería del vehículo eléctrico</v>
      </c>
      <c r="E169" s="11" t="str">
        <f>Data!J167</f>
        <v>Telematics Device</v>
      </c>
      <c r="F169" s="13">
        <f>Data!L167</f>
        <v>0</v>
      </c>
      <c r="G169" s="11" t="str">
        <f>CONCATENATE(Data!N167," ",Data!P167)</f>
        <v>-18558 W</v>
      </c>
    </row>
    <row r="170" spans="1:7" x14ac:dyDescent="0.3">
      <c r="A170" s="11" t="str">
        <f>Data!A168</f>
        <v>NISSAN LEAF 299-1018</v>
      </c>
      <c r="B170" s="11" t="str">
        <f>Data!D168</f>
        <v>Vehicle, Battery Electric Vehicle</v>
      </c>
      <c r="C170" s="12">
        <f>Data!F168</f>
        <v>46087.37479574074</v>
      </c>
      <c r="D170" s="11" t="str">
        <f>Data!G168</f>
        <v>Energía de la batería del vehículo eléctrico</v>
      </c>
      <c r="E170" s="11" t="str">
        <f>Data!J168</f>
        <v>Telematics Device</v>
      </c>
      <c r="F170" s="13">
        <f>Data!L168</f>
        <v>0</v>
      </c>
      <c r="G170" s="11" t="str">
        <f>CONCATENATE(Data!N168," ",Data!P168)</f>
        <v>27080 W</v>
      </c>
    </row>
    <row r="171" spans="1:7" x14ac:dyDescent="0.3">
      <c r="A171" s="11" t="str">
        <f>Data!A169</f>
        <v>NISSAN LEAF 299-1018</v>
      </c>
      <c r="B171" s="11" t="str">
        <f>Data!D169</f>
        <v>Vehicle, Battery Electric Vehicle</v>
      </c>
      <c r="C171" s="12">
        <f>Data!F169</f>
        <v>46087.374935347223</v>
      </c>
      <c r="D171" s="11" t="str">
        <f>Data!G169</f>
        <v>Energía de la batería del vehículo eléctrico</v>
      </c>
      <c r="E171" s="11" t="str">
        <f>Data!J169</f>
        <v>Telematics Device</v>
      </c>
      <c r="F171" s="13">
        <f>Data!L169</f>
        <v>0</v>
      </c>
      <c r="G171" s="11" t="str">
        <f>CONCATENATE(Data!N169," ",Data!P169)</f>
        <v>32535 W</v>
      </c>
    </row>
    <row r="172" spans="1:7" x14ac:dyDescent="0.3">
      <c r="A172" s="11" t="str">
        <f>Data!A170</f>
        <v>NISSAN LEAF 299-1018</v>
      </c>
      <c r="B172" s="11" t="str">
        <f>Data!D170</f>
        <v>Vehicle, Battery Electric Vehicle</v>
      </c>
      <c r="C172" s="12">
        <f>Data!F170</f>
        <v>46087.374981782406</v>
      </c>
      <c r="D172" s="11" t="str">
        <f>Data!G170</f>
        <v>Energía de la batería del vehículo eléctrico</v>
      </c>
      <c r="E172" s="11" t="str">
        <f>Data!J170</f>
        <v>Telematics Device</v>
      </c>
      <c r="F172" s="13">
        <f>Data!L170</f>
        <v>0</v>
      </c>
      <c r="G172" s="11" t="str">
        <f>CONCATENATE(Data!N170," ",Data!P170)</f>
        <v>-11781 W</v>
      </c>
    </row>
    <row r="173" spans="1:7" x14ac:dyDescent="0.3">
      <c r="A173" s="11" t="str">
        <f>Data!A171</f>
        <v>NISSAN LEAF 299-1018</v>
      </c>
      <c r="B173" s="11" t="str">
        <f>Data!D171</f>
        <v>Vehicle, Battery Electric Vehicle</v>
      </c>
      <c r="C173" s="12">
        <f>Data!F171</f>
        <v>46087.375132743058</v>
      </c>
      <c r="D173" s="11" t="str">
        <f>Data!G171</f>
        <v>Energía de la batería del vehículo eléctrico</v>
      </c>
      <c r="E173" s="11" t="str">
        <f>Data!J171</f>
        <v>Telematics Device</v>
      </c>
      <c r="F173" s="13">
        <f>Data!L171</f>
        <v>0</v>
      </c>
      <c r="G173" s="11" t="str">
        <f>CONCATENATE(Data!N171," ",Data!P171)</f>
        <v>23478 W</v>
      </c>
    </row>
    <row r="174" spans="1:7" x14ac:dyDescent="0.3">
      <c r="A174" s="11" t="str">
        <f>Data!A172</f>
        <v>NISSAN LEAF 299-1018</v>
      </c>
      <c r="B174" s="11" t="str">
        <f>Data!D172</f>
        <v>Vehicle, Battery Electric Vehicle</v>
      </c>
      <c r="C174" s="12">
        <f>Data!F172</f>
        <v>46087.375144537036</v>
      </c>
      <c r="D174" s="11" t="str">
        <f>Data!G172</f>
        <v>Energía de la batería del vehículo eléctrico</v>
      </c>
      <c r="E174" s="11" t="str">
        <f>Data!J172</f>
        <v>Telematics Device</v>
      </c>
      <c r="F174" s="13">
        <f>Data!L172</f>
        <v>0</v>
      </c>
      <c r="G174" s="11" t="str">
        <f>CONCATENATE(Data!N172," ",Data!P172)</f>
        <v>-10178 W</v>
      </c>
    </row>
    <row r="175" spans="1:7" x14ac:dyDescent="0.3">
      <c r="A175" s="11" t="str">
        <f>Data!A173</f>
        <v>NISSAN LEAF 299-1018</v>
      </c>
      <c r="B175" s="11" t="str">
        <f>Data!D173</f>
        <v>Vehicle, Battery Electric Vehicle</v>
      </c>
      <c r="C175" s="12">
        <f>Data!F173</f>
        <v>46087.375283831017</v>
      </c>
      <c r="D175" s="11" t="str">
        <f>Data!G173</f>
        <v>Energía de la batería del vehículo eléctrico</v>
      </c>
      <c r="E175" s="11" t="str">
        <f>Data!J173</f>
        <v>Telematics Device</v>
      </c>
      <c r="F175" s="13">
        <f>Data!L173</f>
        <v>0</v>
      </c>
      <c r="G175" s="11" t="str">
        <f>CONCATENATE(Data!N173," ",Data!P173)</f>
        <v>17225 W</v>
      </c>
    </row>
    <row r="176" spans="1:7" x14ac:dyDescent="0.3">
      <c r="A176" s="11" t="str">
        <f>Data!A174</f>
        <v>NISSAN LEAF 299-1018</v>
      </c>
      <c r="B176" s="11" t="str">
        <f>Data!D174</f>
        <v>Vehicle, Battery Electric Vehicle</v>
      </c>
      <c r="C176" s="12">
        <f>Data!F174</f>
        <v>46087.375376840275</v>
      </c>
      <c r="D176" s="11" t="str">
        <f>Data!G174</f>
        <v>Energía de la batería del vehículo eléctrico</v>
      </c>
      <c r="E176" s="11" t="str">
        <f>Data!J174</f>
        <v>Telematics Device</v>
      </c>
      <c r="F176" s="13">
        <f>Data!L174</f>
        <v>0</v>
      </c>
      <c r="G176" s="11" t="str">
        <f>CONCATENATE(Data!N174," ",Data!P174)</f>
        <v>-11055 W</v>
      </c>
    </row>
    <row r="177" spans="1:7" x14ac:dyDescent="0.3">
      <c r="A177" s="11" t="str">
        <f>Data!A175</f>
        <v>NISSAN LEAF 299-1018</v>
      </c>
      <c r="B177" s="11" t="str">
        <f>Data!D175</f>
        <v>Vehicle, Battery Electric Vehicle</v>
      </c>
      <c r="C177" s="12">
        <f>Data!F175</f>
        <v>46087.375434884256</v>
      </c>
      <c r="D177" s="11" t="str">
        <f>Data!G175</f>
        <v>Energía de la batería del vehículo eléctrico</v>
      </c>
      <c r="E177" s="11" t="str">
        <f>Data!J175</f>
        <v>Telematics Device</v>
      </c>
      <c r="F177" s="13">
        <f>Data!L175</f>
        <v>0</v>
      </c>
      <c r="G177" s="11" t="str">
        <f>CONCATENATE(Data!N175," ",Data!P175)</f>
        <v>26280 W</v>
      </c>
    </row>
    <row r="178" spans="1:7" x14ac:dyDescent="0.3">
      <c r="A178" s="11" t="str">
        <f>Data!A176</f>
        <v>NISSAN LEAF 299-1018</v>
      </c>
      <c r="B178" s="11" t="str">
        <f>Data!D176</f>
        <v>Vehicle, Battery Electric Vehicle</v>
      </c>
      <c r="C178" s="12">
        <f>Data!F176</f>
        <v>46087.375504687501</v>
      </c>
      <c r="D178" s="11" t="str">
        <f>Data!G176</f>
        <v>Energía de la batería del vehículo eléctrico</v>
      </c>
      <c r="E178" s="11" t="str">
        <f>Data!J176</f>
        <v>Telematics Device</v>
      </c>
      <c r="F178" s="13">
        <f>Data!L176</f>
        <v>0</v>
      </c>
      <c r="G178" s="11" t="str">
        <f>CONCATENATE(Data!N176," ",Data!P176)</f>
        <v>-10870 W</v>
      </c>
    </row>
    <row r="179" spans="1:7" x14ac:dyDescent="0.3">
      <c r="A179" s="11" t="str">
        <f>Data!A177</f>
        <v>NISSAN LEAF 299-1018</v>
      </c>
      <c r="B179" s="11" t="str">
        <f>Data!D177</f>
        <v>Vehicle, Battery Electric Vehicle</v>
      </c>
      <c r="C179" s="12">
        <f>Data!F177</f>
        <v>46087.375527800927</v>
      </c>
      <c r="D179" s="11" t="str">
        <f>Data!G177</f>
        <v>Energía de la batería del vehículo eléctrico</v>
      </c>
      <c r="E179" s="11" t="str">
        <f>Data!J177</f>
        <v>Telematics Device</v>
      </c>
      <c r="F179" s="13">
        <f>Data!L177</f>
        <v>0</v>
      </c>
      <c r="G179" s="11" t="str">
        <f>CONCATENATE(Data!N177," ",Data!P177)</f>
        <v>26645 W</v>
      </c>
    </row>
    <row r="180" spans="1:7" x14ac:dyDescent="0.3">
      <c r="A180" s="11" t="str">
        <f>Data!A178</f>
        <v>NISSAN LEAF 299-1018</v>
      </c>
      <c r="B180" s="11" t="str">
        <f>Data!D178</f>
        <v>Vehicle, Battery Electric Vehicle</v>
      </c>
      <c r="C180" s="12">
        <f>Data!F178</f>
        <v>46087.375562835645</v>
      </c>
      <c r="D180" s="11" t="str">
        <f>Data!G178</f>
        <v>Energía de la batería del vehículo eléctrico</v>
      </c>
      <c r="E180" s="11" t="str">
        <f>Data!J178</f>
        <v>Telematics Device</v>
      </c>
      <c r="F180" s="13">
        <f>Data!L178</f>
        <v>0</v>
      </c>
      <c r="G180" s="11" t="str">
        <f>CONCATENATE(Data!N178," ",Data!P178)</f>
        <v>-9100 W</v>
      </c>
    </row>
    <row r="181" spans="1:7" x14ac:dyDescent="0.3">
      <c r="A181" s="11" t="str">
        <f>Data!A179</f>
        <v>NISSAN LEAF 299-1018</v>
      </c>
      <c r="B181" s="11" t="str">
        <f>Data!D179</f>
        <v>Vehicle, Battery Electric Vehicle</v>
      </c>
      <c r="C181" s="12">
        <f>Data!F179</f>
        <v>46087.375632546296</v>
      </c>
      <c r="D181" s="11" t="str">
        <f>Data!G179</f>
        <v>Energía de la batería del vehículo eléctrico</v>
      </c>
      <c r="E181" s="11" t="str">
        <f>Data!J179</f>
        <v>Telematics Device</v>
      </c>
      <c r="F181" s="13">
        <f>Data!L179</f>
        <v>0</v>
      </c>
      <c r="G181" s="11" t="str">
        <f>CONCATENATE(Data!N179," ",Data!P179)</f>
        <v>21381 W</v>
      </c>
    </row>
    <row r="182" spans="1:7" x14ac:dyDescent="0.3">
      <c r="A182" s="11" t="str">
        <f>Data!A180</f>
        <v>NISSAN LEAF 299-1018</v>
      </c>
      <c r="B182" s="11" t="str">
        <f>Data!D180</f>
        <v>Vehicle, Battery Electric Vehicle</v>
      </c>
      <c r="C182" s="12">
        <f>Data!F180</f>
        <v>46087.375644074076</v>
      </c>
      <c r="D182" s="11" t="str">
        <f>Data!G180</f>
        <v>Energía de la batería del vehículo eléctrico</v>
      </c>
      <c r="E182" s="11" t="str">
        <f>Data!J180</f>
        <v>Telematics Device</v>
      </c>
      <c r="F182" s="13">
        <f>Data!L180</f>
        <v>0</v>
      </c>
      <c r="G182" s="11" t="str">
        <f>CONCATENATE(Data!N180," ",Data!P180)</f>
        <v>-9982 W</v>
      </c>
    </row>
    <row r="183" spans="1:7" x14ac:dyDescent="0.3">
      <c r="A183" s="11" t="str">
        <f>Data!A181</f>
        <v>NISSAN LEAF 299-1018</v>
      </c>
      <c r="B183" s="11" t="str">
        <f>Data!D181</f>
        <v>Vehicle, Battery Electric Vehicle</v>
      </c>
      <c r="C183" s="12">
        <f>Data!F181</f>
        <v>46087.376027789353</v>
      </c>
      <c r="D183" s="11" t="str">
        <f>Data!G181</f>
        <v>Energía de la batería del vehículo eléctrico</v>
      </c>
      <c r="E183" s="11" t="str">
        <f>Data!J181</f>
        <v>Telematics Device</v>
      </c>
      <c r="F183" s="13">
        <f>Data!L181</f>
        <v>0</v>
      </c>
      <c r="G183" s="11" t="str">
        <f>CONCATENATE(Data!N181," ",Data!P181)</f>
        <v>13340 W</v>
      </c>
    </row>
    <row r="184" spans="1:7" x14ac:dyDescent="0.3">
      <c r="A184" s="11" t="str">
        <f>Data!A182</f>
        <v>NISSAN LEAF 299-1018</v>
      </c>
      <c r="B184" s="11" t="str">
        <f>Data!D182</f>
        <v>Vehicle, Battery Electric Vehicle</v>
      </c>
      <c r="C184" s="12">
        <f>Data!F182</f>
        <v>46087.376039456016</v>
      </c>
      <c r="D184" s="11" t="str">
        <f>Data!G182</f>
        <v>Energía de la batería del vehículo eléctrico</v>
      </c>
      <c r="E184" s="11" t="str">
        <f>Data!J182</f>
        <v>Telematics Device</v>
      </c>
      <c r="F184" s="13">
        <f>Data!L182</f>
        <v>0</v>
      </c>
      <c r="G184" s="11" t="str">
        <f>CONCATENATE(Data!N182," ",Data!P182)</f>
        <v>-13523 W</v>
      </c>
    </row>
    <row r="185" spans="1:7" x14ac:dyDescent="0.3">
      <c r="A185" s="11" t="str">
        <f>Data!A183</f>
        <v>NISSAN LEAF 299-1018</v>
      </c>
      <c r="B185" s="11" t="str">
        <f>Data!D183</f>
        <v>Vehicle, Battery Electric Vehicle</v>
      </c>
      <c r="C185" s="12">
        <f>Data!F183</f>
        <v>46087.376062731484</v>
      </c>
      <c r="D185" s="11" t="str">
        <f>Data!G183</f>
        <v>Energía de la batería del vehículo eléctrico</v>
      </c>
      <c r="E185" s="11" t="str">
        <f>Data!J183</f>
        <v>Telematics Device</v>
      </c>
      <c r="F185" s="13">
        <f>Data!L183</f>
        <v>0</v>
      </c>
      <c r="G185" s="11" t="str">
        <f>CONCATENATE(Data!N183," ",Data!P183)</f>
        <v>22662 W</v>
      </c>
    </row>
    <row r="186" spans="1:7" x14ac:dyDescent="0.3">
      <c r="A186" s="11" t="str">
        <f>Data!A184</f>
        <v>NISSAN LEAF 299-1018</v>
      </c>
      <c r="B186" s="11" t="str">
        <f>Data!D184</f>
        <v>Vehicle, Battery Electric Vehicle</v>
      </c>
      <c r="C186" s="12">
        <f>Data!F184</f>
        <v>46087.376388124998</v>
      </c>
      <c r="D186" s="11" t="str">
        <f>Data!G184</f>
        <v>Energía de la batería del vehículo eléctrico</v>
      </c>
      <c r="E186" s="11" t="str">
        <f>Data!J184</f>
        <v>Telematics Device</v>
      </c>
      <c r="F186" s="13">
        <f>Data!L184</f>
        <v>0</v>
      </c>
      <c r="G186" s="11" t="str">
        <f>CONCATENATE(Data!N184," ",Data!P184)</f>
        <v>-34592 W</v>
      </c>
    </row>
    <row r="187" spans="1:7" x14ac:dyDescent="0.3">
      <c r="A187" s="11" t="str">
        <f>Data!A185</f>
        <v>NISSAN LEAF 299-1018</v>
      </c>
      <c r="B187" s="11" t="str">
        <f>Data!D185</f>
        <v>Vehicle, Battery Electric Vehicle</v>
      </c>
      <c r="C187" s="12">
        <f>Data!F185</f>
        <v>46087.376469722221</v>
      </c>
      <c r="D187" s="11" t="str">
        <f>Data!G185</f>
        <v>Energía de la batería del vehículo eléctrico</v>
      </c>
      <c r="E187" s="11" t="str">
        <f>Data!J185</f>
        <v>Telematics Device</v>
      </c>
      <c r="F187" s="13">
        <f>Data!L185</f>
        <v>0</v>
      </c>
      <c r="G187" s="11" t="str">
        <f>CONCATENATE(Data!N185," ",Data!P185)</f>
        <v>7001 W</v>
      </c>
    </row>
    <row r="188" spans="1:7" x14ac:dyDescent="0.3">
      <c r="A188" s="11" t="str">
        <f>Data!A186</f>
        <v>NISSAN LEAF 299-1018</v>
      </c>
      <c r="B188" s="11" t="str">
        <f>Data!D186</f>
        <v>Vehicle, Battery Electric Vehicle</v>
      </c>
      <c r="C188" s="12">
        <f>Data!F186</f>
        <v>46087.37655119213</v>
      </c>
      <c r="D188" s="11" t="str">
        <f>Data!G186</f>
        <v>Energía de la batería del vehículo eléctrico</v>
      </c>
      <c r="E188" s="11" t="str">
        <f>Data!J186</f>
        <v>Telematics Device</v>
      </c>
      <c r="F188" s="13">
        <f>Data!L186</f>
        <v>0</v>
      </c>
      <c r="G188" s="11" t="str">
        <f>CONCATENATE(Data!N186," ",Data!P186)</f>
        <v>-29176 W</v>
      </c>
    </row>
    <row r="189" spans="1:7" x14ac:dyDescent="0.3">
      <c r="A189" s="11" t="str">
        <f>Data!A187</f>
        <v>NISSAN LEAF 299-1018</v>
      </c>
      <c r="B189" s="11" t="str">
        <f>Data!D187</f>
        <v>Vehicle, Battery Electric Vehicle</v>
      </c>
      <c r="C189" s="12">
        <f>Data!F187</f>
        <v>46087.37656290509</v>
      </c>
      <c r="D189" s="11" t="str">
        <f>Data!G187</f>
        <v>Energía de la batería del vehículo eléctrico</v>
      </c>
      <c r="E189" s="11" t="str">
        <f>Data!J187</f>
        <v>Telematics Device</v>
      </c>
      <c r="F189" s="13">
        <f>Data!L187</f>
        <v>0</v>
      </c>
      <c r="G189" s="11" t="str">
        <f>CONCATENATE(Data!N187," ",Data!P187)</f>
        <v>9646 W</v>
      </c>
    </row>
    <row r="190" spans="1:7" x14ac:dyDescent="0.3">
      <c r="A190" s="11" t="str">
        <f>Data!A188</f>
        <v>NISSAN LEAF 299-1018</v>
      </c>
      <c r="B190" s="11" t="str">
        <f>Data!D188</f>
        <v>Vehicle, Battery Electric Vehicle</v>
      </c>
      <c r="C190" s="12">
        <f>Data!F188</f>
        <v>46087.37662091435</v>
      </c>
      <c r="D190" s="11" t="str">
        <f>Data!G188</f>
        <v>Energía de la batería del vehículo eléctrico</v>
      </c>
      <c r="E190" s="11" t="str">
        <f>Data!J188</f>
        <v>Telematics Device</v>
      </c>
      <c r="F190" s="13">
        <f>Data!L188</f>
        <v>0</v>
      </c>
      <c r="G190" s="11" t="str">
        <f>CONCATENATE(Data!N188," ",Data!P188)</f>
        <v>32032 W</v>
      </c>
    </row>
    <row r="191" spans="1:7" x14ac:dyDescent="0.3">
      <c r="A191" s="11" t="str">
        <f>Data!A189</f>
        <v>NISSAN LEAF 299-1018</v>
      </c>
      <c r="B191" s="11" t="str">
        <f>Data!D189</f>
        <v>Vehicle, Battery Electric Vehicle</v>
      </c>
      <c r="C191" s="12">
        <f>Data!F189</f>
        <v>46087.376667974539</v>
      </c>
      <c r="D191" s="11" t="str">
        <f>Data!G189</f>
        <v>Energía de la batería del vehículo eléctrico</v>
      </c>
      <c r="E191" s="11" t="str">
        <f>Data!J189</f>
        <v>Telematics Device</v>
      </c>
      <c r="F191" s="13">
        <f>Data!L189</f>
        <v>0</v>
      </c>
      <c r="G191" s="11" t="str">
        <f>CONCATENATE(Data!N189," ",Data!P189)</f>
        <v>-6561 W</v>
      </c>
    </row>
    <row r="192" spans="1:7" x14ac:dyDescent="0.3">
      <c r="A192" s="11" t="str">
        <f>Data!A190</f>
        <v>NISSAN LEAF 299-1018</v>
      </c>
      <c r="B192" s="11" t="str">
        <f>Data!D190</f>
        <v>Vehicle, Battery Electric Vehicle</v>
      </c>
      <c r="C192" s="12">
        <f>Data!F190</f>
        <v>46087.376691215279</v>
      </c>
      <c r="D192" s="11" t="str">
        <f>Data!G190</f>
        <v>Energía de la batería del vehículo eléctrico</v>
      </c>
      <c r="E192" s="11" t="str">
        <f>Data!J190</f>
        <v>Telematics Device</v>
      </c>
      <c r="F192" s="13">
        <f>Data!L190</f>
        <v>0</v>
      </c>
      <c r="G192" s="11" t="str">
        <f>CONCATENATE(Data!N190," ",Data!P190)</f>
        <v>27884 W</v>
      </c>
    </row>
    <row r="193" spans="1:7" x14ac:dyDescent="0.3">
      <c r="A193" s="11" t="str">
        <f>Data!A191</f>
        <v>NISSAN LEAF 299-1018</v>
      </c>
      <c r="B193" s="11" t="str">
        <f>Data!D191</f>
        <v>Vehicle, Battery Electric Vehicle</v>
      </c>
      <c r="C193" s="12">
        <f>Data!F191</f>
        <v>46087.376762465276</v>
      </c>
      <c r="D193" s="11" t="str">
        <f>Data!G191</f>
        <v>Estado de carga genérico</v>
      </c>
      <c r="E193" s="11" t="str">
        <f>Data!J191</f>
        <v>Telematics Device</v>
      </c>
      <c r="F193" s="13">
        <f>Data!L191</f>
        <v>0</v>
      </c>
      <c r="G193" s="11" t="str">
        <f>CONCATENATE(Data!N191," ",Data!P191)</f>
        <v>70.975 %</v>
      </c>
    </row>
    <row r="194" spans="1:7" x14ac:dyDescent="0.3">
      <c r="A194" s="11" t="str">
        <f>Data!A192</f>
        <v>NISSAN LEAF 299-1018</v>
      </c>
      <c r="B194" s="11" t="str">
        <f>Data!D192</f>
        <v>Vehicle, Battery Electric Vehicle</v>
      </c>
      <c r="C194" s="12">
        <f>Data!F192</f>
        <v>46087.376970034726</v>
      </c>
      <c r="D194" s="11" t="str">
        <f>Data!G192</f>
        <v>Energía de la batería del vehículo eléctrico</v>
      </c>
      <c r="E194" s="11" t="str">
        <f>Data!J192</f>
        <v>Telematics Device</v>
      </c>
      <c r="F194" s="13">
        <f>Data!L192</f>
        <v>0</v>
      </c>
      <c r="G194" s="11" t="str">
        <f>CONCATENATE(Data!N192," ",Data!P192)</f>
        <v>-10905 W</v>
      </c>
    </row>
    <row r="195" spans="1:7" x14ac:dyDescent="0.3">
      <c r="A195" s="11" t="str">
        <f>Data!A193</f>
        <v>NISSAN LEAF 299-1018</v>
      </c>
      <c r="B195" s="11" t="str">
        <f>Data!D193</f>
        <v>Vehicle, Battery Electric Vehicle</v>
      </c>
      <c r="C195" s="12">
        <f>Data!F193</f>
        <v>46087.37707451389</v>
      </c>
      <c r="D195" s="11" t="str">
        <f>Data!G193</f>
        <v>Energía de la batería del vehículo eléctrico</v>
      </c>
      <c r="E195" s="11" t="str">
        <f>Data!J193</f>
        <v>Telematics Device</v>
      </c>
      <c r="F195" s="13">
        <f>Data!L193</f>
        <v>0</v>
      </c>
      <c r="G195" s="11" t="str">
        <f>CONCATENATE(Data!N193," ",Data!P193)</f>
        <v>15812 W</v>
      </c>
    </row>
    <row r="196" spans="1:7" x14ac:dyDescent="0.3">
      <c r="A196" s="11" t="str">
        <f>Data!A194</f>
        <v>NISSAN LEAF 299-1018</v>
      </c>
      <c r="B196" s="11" t="str">
        <f>Data!D194</f>
        <v>Vehicle, Battery Electric Vehicle</v>
      </c>
      <c r="C196" s="12">
        <f>Data!F194</f>
        <v>46087.377237233799</v>
      </c>
      <c r="D196" s="11" t="str">
        <f>Data!G194</f>
        <v>Energía de la batería del vehículo eléctrico</v>
      </c>
      <c r="E196" s="11" t="str">
        <f>Data!J194</f>
        <v>Telematics Device</v>
      </c>
      <c r="F196" s="13">
        <f>Data!L194</f>
        <v>0</v>
      </c>
      <c r="G196" s="11" t="str">
        <f>CONCATENATE(Data!N194," ",Data!P194)</f>
        <v>-8107 W</v>
      </c>
    </row>
    <row r="197" spans="1:7" x14ac:dyDescent="0.3">
      <c r="A197" s="11" t="str">
        <f>Data!A195</f>
        <v>NISSAN LEAF 299-1018</v>
      </c>
      <c r="B197" s="11" t="str">
        <f>Data!D195</f>
        <v>Vehicle, Battery Electric Vehicle</v>
      </c>
      <c r="C197" s="12">
        <f>Data!F195</f>
        <v>46087.37729546296</v>
      </c>
      <c r="D197" s="11" t="str">
        <f>Data!G195</f>
        <v>Energía de la batería del vehículo eléctrico</v>
      </c>
      <c r="E197" s="11" t="str">
        <f>Data!J195</f>
        <v>Telematics Device</v>
      </c>
      <c r="F197" s="13">
        <f>Data!L195</f>
        <v>0</v>
      </c>
      <c r="G197" s="11" t="str">
        <f>CONCATENATE(Data!N195," ",Data!P195)</f>
        <v>30660 W</v>
      </c>
    </row>
    <row r="198" spans="1:7" x14ac:dyDescent="0.3">
      <c r="A198" s="11" t="str">
        <f>Data!A196</f>
        <v>NISSAN LEAF 299-1018</v>
      </c>
      <c r="B198" s="11" t="str">
        <f>Data!D196</f>
        <v>Vehicle, Battery Electric Vehicle</v>
      </c>
      <c r="C198" s="12">
        <f>Data!F196</f>
        <v>46087.377318749997</v>
      </c>
      <c r="D198" s="11" t="str">
        <f>Data!G196</f>
        <v>Energía de la batería del vehículo eléctrico</v>
      </c>
      <c r="E198" s="11" t="str">
        <f>Data!J196</f>
        <v>Telematics Device</v>
      </c>
      <c r="F198" s="13">
        <f>Data!L196</f>
        <v>0</v>
      </c>
      <c r="G198" s="11" t="str">
        <f>CONCATENATE(Data!N196," ",Data!P196)</f>
        <v>-11434 W</v>
      </c>
    </row>
    <row r="199" spans="1:7" x14ac:dyDescent="0.3">
      <c r="A199" s="11" t="str">
        <f>Data!A197</f>
        <v>NISSAN LEAF 299-1018</v>
      </c>
      <c r="B199" s="11" t="str">
        <f>Data!D197</f>
        <v>Vehicle, Battery Electric Vehicle</v>
      </c>
      <c r="C199" s="12">
        <f>Data!F197</f>
        <v>46087.377423460646</v>
      </c>
      <c r="D199" s="11" t="str">
        <f>Data!G197</f>
        <v>Energía de la batería del vehículo eléctrico</v>
      </c>
      <c r="E199" s="11" t="str">
        <f>Data!J197</f>
        <v>Telematics Device</v>
      </c>
      <c r="F199" s="13">
        <f>Data!L197</f>
        <v>0</v>
      </c>
      <c r="G199" s="11" t="str">
        <f>CONCATENATE(Data!N197," ",Data!P197)</f>
        <v>18191 W</v>
      </c>
    </row>
    <row r="200" spans="1:7" x14ac:dyDescent="0.3">
      <c r="A200" s="11" t="str">
        <f>Data!A198</f>
        <v>NISSAN LEAF 299-1018</v>
      </c>
      <c r="B200" s="11" t="str">
        <f>Data!D198</f>
        <v>Vehicle, Battery Electric Vehicle</v>
      </c>
      <c r="C200" s="12">
        <f>Data!F198</f>
        <v>46087.377492997686</v>
      </c>
      <c r="D200" s="11" t="str">
        <f>Data!G198</f>
        <v>Energía de la batería del vehículo eléctrico</v>
      </c>
      <c r="E200" s="11" t="str">
        <f>Data!J198</f>
        <v>Telematics Device</v>
      </c>
      <c r="F200" s="13">
        <f>Data!L198</f>
        <v>0</v>
      </c>
      <c r="G200" s="11" t="str">
        <f>CONCATENATE(Data!N198," ",Data!P198)</f>
        <v>-11728 W</v>
      </c>
    </row>
    <row r="201" spans="1:7" x14ac:dyDescent="0.3">
      <c r="A201" s="11" t="str">
        <f>Data!A199</f>
        <v>NISSAN LEAF 299-1018</v>
      </c>
      <c r="B201" s="11" t="str">
        <f>Data!D199</f>
        <v>Vehicle, Battery Electric Vehicle</v>
      </c>
      <c r="C201" s="12">
        <f>Data!F199</f>
        <v>46087.377818645837</v>
      </c>
      <c r="D201" s="11" t="str">
        <f>Data!G199</f>
        <v>Energía de la batería del vehículo eléctrico</v>
      </c>
      <c r="E201" s="11" t="str">
        <f>Data!J199</f>
        <v>Telematics Device</v>
      </c>
      <c r="F201" s="13">
        <f>Data!L199</f>
        <v>0</v>
      </c>
      <c r="G201" s="11" t="str">
        <f>CONCATENATE(Data!N199," ",Data!P199)</f>
        <v>14457 W</v>
      </c>
    </row>
    <row r="202" spans="1:7" x14ac:dyDescent="0.3">
      <c r="A202" s="11" t="str">
        <f>Data!A200</f>
        <v>NISSAN LEAF 299-1018</v>
      </c>
      <c r="B202" s="11" t="str">
        <f>Data!D200</f>
        <v>Vehicle, Battery Electric Vehicle</v>
      </c>
      <c r="C202" s="12">
        <f>Data!F200</f>
        <v>46087.377888414354</v>
      </c>
      <c r="D202" s="11" t="str">
        <f>Data!G200</f>
        <v>Energía de la batería del vehículo eléctrico</v>
      </c>
      <c r="E202" s="11" t="str">
        <f>Data!J200</f>
        <v>Telematics Device</v>
      </c>
      <c r="F202" s="13">
        <f>Data!L200</f>
        <v>0</v>
      </c>
      <c r="G202" s="11" t="str">
        <f>CONCATENATE(Data!N200," ",Data!P200)</f>
        <v>-15910 W</v>
      </c>
    </row>
    <row r="203" spans="1:7" x14ac:dyDescent="0.3">
      <c r="A203" s="11" t="str">
        <f>Data!A201</f>
        <v>NISSAN LEAF 299-1018</v>
      </c>
      <c r="B203" s="11" t="str">
        <f>Data!D201</f>
        <v>Vehicle, Battery Electric Vehicle</v>
      </c>
      <c r="C203" s="12">
        <f>Data!F201</f>
        <v>46087.378004560182</v>
      </c>
      <c r="D203" s="11" t="str">
        <f>Data!G201</f>
        <v>Energía de la batería del vehículo eléctrico</v>
      </c>
      <c r="E203" s="11" t="str">
        <f>Data!J201</f>
        <v>Telematics Device</v>
      </c>
      <c r="F203" s="13">
        <f>Data!L201</f>
        <v>0</v>
      </c>
      <c r="G203" s="11" t="str">
        <f>CONCATENATE(Data!N201," ",Data!P201)</f>
        <v>6808 W</v>
      </c>
    </row>
    <row r="204" spans="1:7" x14ac:dyDescent="0.3">
      <c r="A204" s="11" t="str">
        <f>Data!A202</f>
        <v>NISSAN LEAF 299-1018</v>
      </c>
      <c r="B204" s="11" t="str">
        <f>Data!D202</f>
        <v>Vehicle, Battery Electric Vehicle</v>
      </c>
      <c r="C204" s="12">
        <f>Data!F202</f>
        <v>46087.378132372687</v>
      </c>
      <c r="D204" s="11" t="str">
        <f>Data!G202</f>
        <v>Energía de la batería del vehículo eléctrico</v>
      </c>
      <c r="E204" s="11" t="str">
        <f>Data!J202</f>
        <v>Telematics Device</v>
      </c>
      <c r="F204" s="13">
        <f>Data!L202</f>
        <v>0</v>
      </c>
      <c r="G204" s="11" t="str">
        <f>CONCATENATE(Data!N202," ",Data!P202)</f>
        <v>-42392 W</v>
      </c>
    </row>
    <row r="205" spans="1:7" x14ac:dyDescent="0.3">
      <c r="A205" s="11" t="str">
        <f>Data!A203</f>
        <v>NISSAN LEAF 299-1018</v>
      </c>
      <c r="B205" s="11" t="str">
        <f>Data!D203</f>
        <v>Vehicle, Battery Electric Vehicle</v>
      </c>
      <c r="C205" s="12">
        <f>Data!F203</f>
        <v>46087.37815542824</v>
      </c>
      <c r="D205" s="11" t="str">
        <f>Data!G203</f>
        <v>Energía de la batería del vehículo eléctrico</v>
      </c>
      <c r="E205" s="11" t="str">
        <f>Data!J203</f>
        <v>Telematics Device</v>
      </c>
      <c r="F205" s="13">
        <f>Data!L203</f>
        <v>0</v>
      </c>
      <c r="G205" s="11" t="str">
        <f>CONCATENATE(Data!N203," ",Data!P203)</f>
        <v>-5960 W</v>
      </c>
    </row>
    <row r="206" spans="1:7" x14ac:dyDescent="0.3">
      <c r="A206" s="11" t="str">
        <f>Data!A204</f>
        <v>NISSAN LEAF 299-1018</v>
      </c>
      <c r="B206" s="11" t="str">
        <f>Data!D204</f>
        <v>Vehicle, Battery Electric Vehicle</v>
      </c>
      <c r="C206" s="12">
        <f>Data!F204</f>
        <v>46087.378260046295</v>
      </c>
      <c r="D206" s="11" t="str">
        <f>Data!G204</f>
        <v>Energía de la batería del vehículo eléctrico</v>
      </c>
      <c r="E206" s="11" t="str">
        <f>Data!J204</f>
        <v>Telematics Device</v>
      </c>
      <c r="F206" s="13">
        <f>Data!L204</f>
        <v>0</v>
      </c>
      <c r="G206" s="11" t="str">
        <f>CONCATENATE(Data!N204," ",Data!P204)</f>
        <v>16331 W</v>
      </c>
    </row>
    <row r="207" spans="1:7" x14ac:dyDescent="0.3">
      <c r="A207" s="11" t="str">
        <f>Data!A205</f>
        <v>NISSAN LEAF 299-1018</v>
      </c>
      <c r="B207" s="11" t="str">
        <f>Data!D205</f>
        <v>Vehicle, Battery Electric Vehicle</v>
      </c>
      <c r="C207" s="12">
        <f>Data!F205</f>
        <v>46087.378678842593</v>
      </c>
      <c r="D207" s="11" t="str">
        <f>Data!G205</f>
        <v>Energía de la batería del vehículo eléctrico</v>
      </c>
      <c r="E207" s="11" t="str">
        <f>Data!J205</f>
        <v>Telematics Device</v>
      </c>
      <c r="F207" s="13">
        <f>Data!L205</f>
        <v>0</v>
      </c>
      <c r="G207" s="11" t="str">
        <f>CONCATENATE(Data!N205," ",Data!P205)</f>
        <v>-25970 W</v>
      </c>
    </row>
    <row r="208" spans="1:7" x14ac:dyDescent="0.3">
      <c r="A208" s="11" t="str">
        <f>Data!A206</f>
        <v>NISSAN LEAF 299-1018</v>
      </c>
      <c r="B208" s="11" t="str">
        <f>Data!D206</f>
        <v>Vehicle, Battery Electric Vehicle</v>
      </c>
      <c r="C208" s="12">
        <f>Data!F206</f>
        <v>46087.379446840278</v>
      </c>
      <c r="D208" s="11" t="str">
        <f>Data!G206</f>
        <v>Energía de la batería del vehículo eléctrico</v>
      </c>
      <c r="E208" s="11" t="str">
        <f>Data!J206</f>
        <v>Telematics Device</v>
      </c>
      <c r="F208" s="13">
        <f>Data!L206</f>
        <v>0</v>
      </c>
      <c r="G208" s="11" t="str">
        <f>CONCATENATE(Data!N206," ",Data!P206)</f>
        <v>47225 W</v>
      </c>
    </row>
    <row r="209" spans="1:7" x14ac:dyDescent="0.3">
      <c r="A209" s="11" t="str">
        <f>Data!A207</f>
        <v>NISSAN LEAF 299-1018</v>
      </c>
      <c r="B209" s="11" t="str">
        <f>Data!D207</f>
        <v>Vehicle, Battery Electric Vehicle</v>
      </c>
      <c r="C209" s="12">
        <f>Data!F207</f>
        <v>46087.379493229164</v>
      </c>
      <c r="D209" s="11" t="str">
        <f>Data!G207</f>
        <v>Energía de la batería del vehículo eléctrico</v>
      </c>
      <c r="E209" s="11" t="str">
        <f>Data!J207</f>
        <v>Telematics Device</v>
      </c>
      <c r="F209" s="13">
        <f>Data!L207</f>
        <v>0</v>
      </c>
      <c r="G209" s="11" t="str">
        <f>CONCATENATE(Data!N207," ",Data!P207)</f>
        <v>45000 W</v>
      </c>
    </row>
    <row r="210" spans="1:7" x14ac:dyDescent="0.3">
      <c r="A210" s="11" t="str">
        <f>Data!A208</f>
        <v>NISSAN LEAF 299-1018</v>
      </c>
      <c r="B210" s="11" t="str">
        <f>Data!D208</f>
        <v>Vehicle, Battery Electric Vehicle</v>
      </c>
      <c r="C210" s="12">
        <f>Data!F208</f>
        <v>46087.379516550929</v>
      </c>
      <c r="D210" s="11" t="str">
        <f>Data!G208</f>
        <v>Energía de la batería del vehículo eléctrico</v>
      </c>
      <c r="E210" s="11" t="str">
        <f>Data!J208</f>
        <v>Telematics Device</v>
      </c>
      <c r="F210" s="13">
        <f>Data!L208</f>
        <v>0</v>
      </c>
      <c r="G210" s="11" t="str">
        <f>CONCATENATE(Data!N208," ",Data!P208)</f>
        <v>-7581 W</v>
      </c>
    </row>
    <row r="211" spans="1:7" x14ac:dyDescent="0.3">
      <c r="A211" s="11" t="str">
        <f>Data!A209</f>
        <v>NISSAN LEAF 299-1018</v>
      </c>
      <c r="B211" s="11" t="str">
        <f>Data!D209</f>
        <v>Vehicle, Battery Electric Vehicle</v>
      </c>
      <c r="C211" s="12">
        <f>Data!F209</f>
        <v>46087.379562939816</v>
      </c>
      <c r="D211" s="11" t="str">
        <f>Data!G209</f>
        <v>Energía de la batería del vehículo eléctrico</v>
      </c>
      <c r="E211" s="11" t="str">
        <f>Data!J209</f>
        <v>Telematics Device</v>
      </c>
      <c r="F211" s="13">
        <f>Data!L209</f>
        <v>0</v>
      </c>
      <c r="G211" s="11" t="str">
        <f>CONCATENATE(Data!N209," ",Data!P209)</f>
        <v>39222 W</v>
      </c>
    </row>
    <row r="212" spans="1:7" x14ac:dyDescent="0.3">
      <c r="A212" s="11" t="str">
        <f>Data!A210</f>
        <v>NISSAN LEAF 299-1018</v>
      </c>
      <c r="B212" s="11" t="str">
        <f>Data!D210</f>
        <v>Vehicle, Battery Electric Vehicle</v>
      </c>
      <c r="C212" s="12">
        <f>Data!F210</f>
        <v>46087.379667384259</v>
      </c>
      <c r="D212" s="11" t="str">
        <f>Data!G210</f>
        <v>Energía de la batería del vehículo eléctrico</v>
      </c>
      <c r="E212" s="11" t="str">
        <f>Data!J210</f>
        <v>Telematics Device</v>
      </c>
      <c r="F212" s="13">
        <f>Data!L210</f>
        <v>0</v>
      </c>
      <c r="G212" s="11" t="str">
        <f>CONCATENATE(Data!N210," ",Data!P210)</f>
        <v>1810 W</v>
      </c>
    </row>
    <row r="213" spans="1:7" x14ac:dyDescent="0.3">
      <c r="A213" s="11" t="str">
        <f>Data!A211</f>
        <v>NISSAN LEAF 299-1018</v>
      </c>
      <c r="B213" s="11" t="str">
        <f>Data!D211</f>
        <v>Vehicle, Battery Electric Vehicle</v>
      </c>
      <c r="C213" s="12">
        <f>Data!F211</f>
        <v>46087.379725613428</v>
      </c>
      <c r="D213" s="11" t="str">
        <f>Data!G211</f>
        <v>Energía de la batería del vehículo eléctrico</v>
      </c>
      <c r="E213" s="11" t="str">
        <f>Data!J211</f>
        <v>Telematics Device</v>
      </c>
      <c r="F213" s="13">
        <f>Data!L211</f>
        <v>0</v>
      </c>
      <c r="G213" s="11" t="str">
        <f>CONCATENATE(Data!N211," ",Data!P211)</f>
        <v>28659 W</v>
      </c>
    </row>
    <row r="214" spans="1:7" x14ac:dyDescent="0.3">
      <c r="A214" s="11" t="str">
        <f>Data!A212</f>
        <v>NISSAN LEAF 299-1018</v>
      </c>
      <c r="B214" s="11" t="str">
        <f>Data!D212</f>
        <v>Vehicle, Battery Electric Vehicle</v>
      </c>
      <c r="C214" s="12">
        <f>Data!F212</f>
        <v>46087.379748761574</v>
      </c>
      <c r="D214" s="11" t="str">
        <f>Data!G212</f>
        <v>Energía de la batería del vehículo eléctrico</v>
      </c>
      <c r="E214" s="11" t="str">
        <f>Data!J212</f>
        <v>Telematics Device</v>
      </c>
      <c r="F214" s="13">
        <f>Data!L212</f>
        <v>0</v>
      </c>
      <c r="G214" s="11" t="str">
        <f>CONCATENATE(Data!N212," ",Data!P212)</f>
        <v>-12833 W</v>
      </c>
    </row>
    <row r="215" spans="1:7" x14ac:dyDescent="0.3">
      <c r="A215" s="11" t="str">
        <f>Data!A213</f>
        <v>NISSAN LEAF 299-1018</v>
      </c>
      <c r="B215" s="11" t="str">
        <f>Data!D213</f>
        <v>Vehicle, Battery Electric Vehicle</v>
      </c>
      <c r="C215" s="12">
        <f>Data!F213</f>
        <v>46087.379876666666</v>
      </c>
      <c r="D215" s="11" t="str">
        <f>Data!G213</f>
        <v>Energía de la batería del vehículo eléctrico</v>
      </c>
      <c r="E215" s="11" t="str">
        <f>Data!J213</f>
        <v>Telematics Device</v>
      </c>
      <c r="F215" s="13">
        <f>Data!L213</f>
        <v>0</v>
      </c>
      <c r="G215" s="11" t="str">
        <f>CONCATENATE(Data!N213," ",Data!P213)</f>
        <v>17968 W</v>
      </c>
    </row>
    <row r="216" spans="1:7" x14ac:dyDescent="0.3">
      <c r="A216" s="11" t="str">
        <f>Data!A214</f>
        <v>NISSAN LEAF 299-1018</v>
      </c>
      <c r="B216" s="11" t="str">
        <f>Data!D214</f>
        <v>Vehicle, Battery Electric Vehicle</v>
      </c>
      <c r="C216" s="12">
        <f>Data!F214</f>
        <v>46087.379981238424</v>
      </c>
      <c r="D216" s="11" t="str">
        <f>Data!G214</f>
        <v>Energía de la batería del vehículo eléctrico</v>
      </c>
      <c r="E216" s="11" t="str">
        <f>Data!J214</f>
        <v>Telematics Device</v>
      </c>
      <c r="F216" s="13">
        <f>Data!L214</f>
        <v>0</v>
      </c>
      <c r="G216" s="11" t="str">
        <f>CONCATENATE(Data!N214," ",Data!P214)</f>
        <v>-17751 W</v>
      </c>
    </row>
    <row r="217" spans="1:7" x14ac:dyDescent="0.3">
      <c r="A217" s="11" t="str">
        <f>Data!A215</f>
        <v>NISSAN LEAF 299-1018</v>
      </c>
      <c r="B217" s="11" t="str">
        <f>Data!D215</f>
        <v>Vehicle, Battery Electric Vehicle</v>
      </c>
      <c r="C217" s="12">
        <f>Data!F215</f>
        <v>46087.380155439816</v>
      </c>
      <c r="D217" s="11" t="str">
        <f>Data!G215</f>
        <v>Energía de la batería del vehículo eléctrico</v>
      </c>
      <c r="E217" s="11" t="str">
        <f>Data!J215</f>
        <v>Telematics Device</v>
      </c>
      <c r="F217" s="13">
        <f>Data!L215</f>
        <v>0</v>
      </c>
      <c r="G217" s="11" t="str">
        <f>CONCATENATE(Data!N215," ",Data!P215)</f>
        <v>26788 W</v>
      </c>
    </row>
    <row r="218" spans="1:7" x14ac:dyDescent="0.3">
      <c r="A218" s="11" t="str">
        <f>Data!A216</f>
        <v>NISSAN LEAF 299-1018</v>
      </c>
      <c r="B218" s="11" t="str">
        <f>Data!D216</f>
        <v>Vehicle, Battery Electric Vehicle</v>
      </c>
      <c r="C218" s="12">
        <f>Data!F216</f>
        <v>46087.380190335651</v>
      </c>
      <c r="D218" s="11" t="str">
        <f>Data!G216</f>
        <v>Energía de la batería del vehículo eléctrico</v>
      </c>
      <c r="E218" s="11" t="str">
        <f>Data!J216</f>
        <v>Telematics Device</v>
      </c>
      <c r="F218" s="13">
        <f>Data!L216</f>
        <v>0</v>
      </c>
      <c r="G218" s="11" t="str">
        <f>CONCATENATE(Data!N216," ",Data!P216)</f>
        <v>-4344 W</v>
      </c>
    </row>
    <row r="219" spans="1:7" x14ac:dyDescent="0.3">
      <c r="A219" s="11" t="str">
        <f>Data!A217</f>
        <v>NISSAN LEAF 299-1018</v>
      </c>
      <c r="B219" s="11" t="str">
        <f>Data!D217</f>
        <v>Vehicle, Battery Electric Vehicle</v>
      </c>
      <c r="C219" s="12">
        <f>Data!F217</f>
        <v>46087.380503877313</v>
      </c>
      <c r="D219" s="11" t="str">
        <f>Data!G217</f>
        <v>Energía de la batería del vehículo eléctrico</v>
      </c>
      <c r="E219" s="11" t="str">
        <f>Data!J217</f>
        <v>Telematics Device</v>
      </c>
      <c r="F219" s="13">
        <f>Data!L217</f>
        <v>0</v>
      </c>
      <c r="G219" s="11" t="str">
        <f>CONCATENATE(Data!N217," ",Data!P217)</f>
        <v>-25725 W</v>
      </c>
    </row>
    <row r="220" spans="1:7" x14ac:dyDescent="0.3">
      <c r="A220" s="11" t="str">
        <f>Data!A218</f>
        <v>NISSAN LEAF 299-1018</v>
      </c>
      <c r="B220" s="11" t="str">
        <f>Data!D218</f>
        <v>Vehicle, Battery Electric Vehicle</v>
      </c>
      <c r="C220" s="12">
        <f>Data!F218</f>
        <v>46087.380596828705</v>
      </c>
      <c r="D220" s="11" t="str">
        <f>Data!G218</f>
        <v>Energía de la batería del vehículo eléctrico</v>
      </c>
      <c r="E220" s="11" t="str">
        <f>Data!J218</f>
        <v>Telematics Device</v>
      </c>
      <c r="F220" s="13">
        <f>Data!L218</f>
        <v>0</v>
      </c>
      <c r="G220" s="11" t="str">
        <f>CONCATENATE(Data!N218," ",Data!P218)</f>
        <v>8772 W</v>
      </c>
    </row>
    <row r="221" spans="1:7" x14ac:dyDescent="0.3">
      <c r="A221" s="11" t="str">
        <f>Data!A219</f>
        <v>NISSAN LEAF 299-1018</v>
      </c>
      <c r="B221" s="11" t="str">
        <f>Data!D219</f>
        <v>Vehicle, Battery Electric Vehicle</v>
      </c>
      <c r="C221" s="12">
        <f>Data!F219</f>
        <v>46087.38314416667</v>
      </c>
      <c r="D221" s="11" t="str">
        <f>Data!G219</f>
        <v>Energía de la batería del vehículo eléctrico</v>
      </c>
      <c r="E221" s="11" t="str">
        <f>Data!J219</f>
        <v>Telematics Device</v>
      </c>
      <c r="F221" s="13">
        <f>Data!L219</f>
        <v>0</v>
      </c>
      <c r="G221" s="11" t="str">
        <f>CONCATENATE(Data!N219," ",Data!P219)</f>
        <v>14235 W</v>
      </c>
    </row>
    <row r="222" spans="1:7" x14ac:dyDescent="0.3">
      <c r="A222" s="11" t="str">
        <f>Data!A220</f>
        <v>NISSAN LEAF 299-1018</v>
      </c>
      <c r="B222" s="11" t="str">
        <f>Data!D220</f>
        <v>Vehicle, Battery Electric Vehicle</v>
      </c>
      <c r="C222" s="12">
        <f>Data!F220</f>
        <v>46087.38335340278</v>
      </c>
      <c r="D222" s="11" t="str">
        <f>Data!G220</f>
        <v>Energía de la batería del vehículo eléctrico</v>
      </c>
      <c r="E222" s="11" t="str">
        <f>Data!J220</f>
        <v>Telematics Device</v>
      </c>
      <c r="F222" s="13">
        <f>Data!L220</f>
        <v>0</v>
      </c>
      <c r="G222" s="11" t="str">
        <f>CONCATENATE(Data!N220," ",Data!P220)</f>
        <v>-2024 W</v>
      </c>
    </row>
    <row r="223" spans="1:7" x14ac:dyDescent="0.3">
      <c r="A223" s="11" t="str">
        <f>Data!A221</f>
        <v>NISSAN LEAF 299-1018</v>
      </c>
      <c r="B223" s="11" t="str">
        <f>Data!D221</f>
        <v>Vehicle, Battery Electric Vehicle</v>
      </c>
      <c r="C223" s="12">
        <f>Data!F221</f>
        <v>46087.383376736114</v>
      </c>
      <c r="D223" s="11" t="str">
        <f>Data!G221</f>
        <v>Energía de la batería del vehículo eléctrico</v>
      </c>
      <c r="E223" s="11" t="str">
        <f>Data!J221</f>
        <v>Telematics Device</v>
      </c>
      <c r="F223" s="13">
        <f>Data!L221</f>
        <v>0</v>
      </c>
      <c r="G223" s="11" t="str">
        <f>CONCATENATE(Data!N221," ",Data!P221)</f>
        <v>-44464 W</v>
      </c>
    </row>
    <row r="224" spans="1:7" x14ac:dyDescent="0.3">
      <c r="A224" s="11" t="str">
        <f>Data!A222</f>
        <v>NISSAN LEAF 299-1018</v>
      </c>
      <c r="B224" s="11" t="str">
        <f>Data!D222</f>
        <v>Vehicle, Battery Electric Vehicle</v>
      </c>
      <c r="C224" s="12">
        <f>Data!F222</f>
        <v>46087.383411550923</v>
      </c>
      <c r="D224" s="11" t="str">
        <f>Data!G222</f>
        <v>Energía de la batería del vehículo eléctrico</v>
      </c>
      <c r="E224" s="11" t="str">
        <f>Data!J222</f>
        <v>Telematics Device</v>
      </c>
      <c r="F224" s="13">
        <f>Data!L222</f>
        <v>0</v>
      </c>
      <c r="G224" s="11" t="str">
        <f>CONCATENATE(Data!N222," ",Data!P222)</f>
        <v>-9250 W</v>
      </c>
    </row>
    <row r="225" spans="1:7" x14ac:dyDescent="0.3">
      <c r="A225" s="11" t="str">
        <f>Data!A223</f>
        <v>NISSAN LEAF 299-1018</v>
      </c>
      <c r="B225" s="11" t="str">
        <f>Data!D223</f>
        <v>Vehicle, Battery Electric Vehicle</v>
      </c>
      <c r="C225" s="12">
        <f>Data!F223</f>
        <v>46087.383795081019</v>
      </c>
      <c r="D225" s="11" t="str">
        <f>Data!G223</f>
        <v>Energía de la batería del vehículo eléctrico</v>
      </c>
      <c r="E225" s="11" t="str">
        <f>Data!J223</f>
        <v>Telematics Device</v>
      </c>
      <c r="F225" s="13">
        <f>Data!L223</f>
        <v>0</v>
      </c>
      <c r="G225" s="11" t="str">
        <f>CONCATENATE(Data!N223," ",Data!P223)</f>
        <v>-6992 W</v>
      </c>
    </row>
    <row r="226" spans="1:7" x14ac:dyDescent="0.3">
      <c r="A226" s="11" t="str">
        <f>Data!A224</f>
        <v>NISSAN LEAF 299-1018</v>
      </c>
      <c r="B226" s="11" t="str">
        <f>Data!D224</f>
        <v>Vehicle, Battery Electric Vehicle</v>
      </c>
      <c r="C226" s="12">
        <f>Data!F224</f>
        <v>46087.383899699074</v>
      </c>
      <c r="D226" s="11" t="str">
        <f>Data!G224</f>
        <v>Energía de la batería del vehículo eléctrico</v>
      </c>
      <c r="E226" s="11" t="str">
        <f>Data!J224</f>
        <v>Telematics Device</v>
      </c>
      <c r="F226" s="13">
        <f>Data!L224</f>
        <v>0</v>
      </c>
      <c r="G226" s="11" t="str">
        <f>CONCATENATE(Data!N224," ",Data!P224)</f>
        <v>44583 W</v>
      </c>
    </row>
    <row r="227" spans="1:7" x14ac:dyDescent="0.3">
      <c r="A227" s="11" t="str">
        <f>Data!A225</f>
        <v>NISSAN LEAF 299-1018</v>
      </c>
      <c r="B227" s="11" t="str">
        <f>Data!D225</f>
        <v>Vehicle, Battery Electric Vehicle</v>
      </c>
      <c r="C227" s="12">
        <f>Data!F225</f>
        <v>46087.383922928238</v>
      </c>
      <c r="D227" s="11" t="str">
        <f>Data!G225</f>
        <v>Energía de la batería del vehículo eléctrico</v>
      </c>
      <c r="E227" s="11" t="str">
        <f>Data!J225</f>
        <v>Telematics Device</v>
      </c>
      <c r="F227" s="13">
        <f>Data!L225</f>
        <v>0</v>
      </c>
      <c r="G227" s="11" t="str">
        <f>CONCATENATE(Data!N225," ",Data!P225)</f>
        <v>44460 W</v>
      </c>
    </row>
    <row r="228" spans="1:7" x14ac:dyDescent="0.3">
      <c r="A228" s="11" t="str">
        <f>Data!A226</f>
        <v>NISSAN LEAF 299-1018</v>
      </c>
      <c r="B228" s="11" t="str">
        <f>Data!D226</f>
        <v>Vehicle, Battery Electric Vehicle</v>
      </c>
      <c r="C228" s="12">
        <f>Data!F226</f>
        <v>46087.383934594909</v>
      </c>
      <c r="D228" s="11" t="str">
        <f>Data!G226</f>
        <v>Energía de la batería del vehículo eléctrico</v>
      </c>
      <c r="E228" s="11" t="str">
        <f>Data!J226</f>
        <v>Telematics Device</v>
      </c>
      <c r="F228" s="13">
        <f>Data!L226</f>
        <v>0</v>
      </c>
      <c r="G228" s="11" t="str">
        <f>CONCATENATE(Data!N226," ",Data!P226)</f>
        <v>-8987 W</v>
      </c>
    </row>
    <row r="229" spans="1:7" x14ac:dyDescent="0.3">
      <c r="A229" s="11" t="str">
        <f>Data!A227</f>
        <v>NISSAN LEAF 299-1018</v>
      </c>
      <c r="B229" s="11" t="str">
        <f>Data!D227</f>
        <v>Vehicle, Battery Electric Vehicle</v>
      </c>
      <c r="C229" s="12">
        <f>Data!F227</f>
        <v>46087.384436215281</v>
      </c>
      <c r="D229" s="11" t="str">
        <f>Data!G227</f>
        <v>Energía de la batería del vehículo eléctrico</v>
      </c>
      <c r="E229" s="11" t="str">
        <f>Data!J227</f>
        <v>Telematics Device</v>
      </c>
      <c r="F229" s="13">
        <f>Data!L227</f>
        <v>0</v>
      </c>
      <c r="G229" s="11" t="str">
        <f>CONCATENATE(Data!N227," ",Data!P227)</f>
        <v>13505 W</v>
      </c>
    </row>
    <row r="230" spans="1:7" x14ac:dyDescent="0.3">
      <c r="A230" s="11" t="str">
        <f>Data!A228</f>
        <v>NISSAN LEAF 299-1018</v>
      </c>
      <c r="B230" s="11" t="str">
        <f>Data!D228</f>
        <v>Vehicle, Battery Electric Vehicle</v>
      </c>
      <c r="C230" s="12">
        <f>Data!F228</f>
        <v>46087.384564525462</v>
      </c>
      <c r="D230" s="11" t="str">
        <f>Data!G228</f>
        <v>Energía de la batería del vehículo eléctrico</v>
      </c>
      <c r="E230" s="11" t="str">
        <f>Data!J228</f>
        <v>Telematics Device</v>
      </c>
      <c r="F230" s="13">
        <f>Data!L228</f>
        <v>0</v>
      </c>
      <c r="G230" s="11" t="str">
        <f>CONCATENATE(Data!N228," ",Data!P228)</f>
        <v>-40959 W</v>
      </c>
    </row>
    <row r="231" spans="1:7" x14ac:dyDescent="0.3">
      <c r="A231" s="11" t="str">
        <f>Data!A229</f>
        <v>NISSAN LEAF 299-1018</v>
      </c>
      <c r="B231" s="11" t="str">
        <f>Data!D229</f>
        <v>Vehicle, Battery Electric Vehicle</v>
      </c>
      <c r="C231" s="12">
        <f>Data!F229</f>
        <v>46087.384692430554</v>
      </c>
      <c r="D231" s="11" t="str">
        <f>Data!G229</f>
        <v>Energía de la batería del vehículo eléctrico</v>
      </c>
      <c r="E231" s="11" t="str">
        <f>Data!J229</f>
        <v>Telematics Device</v>
      </c>
      <c r="F231" s="13">
        <f>Data!L229</f>
        <v>0</v>
      </c>
      <c r="G231" s="11" t="str">
        <f>CONCATENATE(Data!N229," ",Data!P229)</f>
        <v>6063 W</v>
      </c>
    </row>
    <row r="232" spans="1:7" x14ac:dyDescent="0.3">
      <c r="A232" s="11" t="str">
        <f>Data!A230</f>
        <v>NISSAN LEAF 299-1018</v>
      </c>
      <c r="B232" s="11" t="str">
        <f>Data!D230</f>
        <v>Vehicle, Battery Electric Vehicle</v>
      </c>
      <c r="C232" s="12">
        <f>Data!F230</f>
        <v>46087.384866805558</v>
      </c>
      <c r="D232" s="11" t="str">
        <f>Data!G230</f>
        <v>Energía de la batería del vehículo eléctrico</v>
      </c>
      <c r="E232" s="11" t="str">
        <f>Data!J230</f>
        <v>Telematics Device</v>
      </c>
      <c r="F232" s="13">
        <f>Data!L230</f>
        <v>0</v>
      </c>
      <c r="G232" s="11" t="str">
        <f>CONCATENATE(Data!N230," ",Data!P230)</f>
        <v>-43036 W</v>
      </c>
    </row>
    <row r="233" spans="1:7" x14ac:dyDescent="0.3">
      <c r="A233" s="11" t="str">
        <f>Data!A231</f>
        <v>NISSAN LEAF 299-1018</v>
      </c>
      <c r="B233" s="11" t="str">
        <f>Data!D231</f>
        <v>Vehicle, Battery Electric Vehicle</v>
      </c>
      <c r="C233" s="12">
        <f>Data!F231</f>
        <v>46087.384924861108</v>
      </c>
      <c r="D233" s="11" t="str">
        <f>Data!G231</f>
        <v>Energía de la batería del vehículo eléctrico</v>
      </c>
      <c r="E233" s="11" t="str">
        <f>Data!J231</f>
        <v>Telematics Device</v>
      </c>
      <c r="F233" s="13">
        <f>Data!L231</f>
        <v>0</v>
      </c>
      <c r="G233" s="11" t="str">
        <f>CONCATENATE(Data!N231," ",Data!P231)</f>
        <v>0 W</v>
      </c>
    </row>
    <row r="234" spans="1:7" x14ac:dyDescent="0.3">
      <c r="A234" s="11" t="str">
        <f>Data!A232</f>
        <v>NISSAN LEAF 299-1018</v>
      </c>
      <c r="B234" s="11" t="str">
        <f>Data!D232</f>
        <v>Vehicle, Battery Electric Vehicle</v>
      </c>
      <c r="C234" s="12">
        <f>Data!F232</f>
        <v>46087.38516917824</v>
      </c>
      <c r="D234" s="11" t="str">
        <f>Data!G232</f>
        <v>Energía de la batería del vehículo eléctrico</v>
      </c>
      <c r="E234" s="11" t="str">
        <f>Data!J232</f>
        <v>Telematics Device</v>
      </c>
      <c r="F234" s="13">
        <f>Data!L232</f>
        <v>0</v>
      </c>
      <c r="G234" s="11" t="str">
        <f>CONCATENATE(Data!N232," ",Data!P232)</f>
        <v>-36132 W</v>
      </c>
    </row>
    <row r="235" spans="1:7" x14ac:dyDescent="0.3">
      <c r="A235" s="11" t="str">
        <f>Data!A233</f>
        <v>NISSAN LEAF 299-1018</v>
      </c>
      <c r="B235" s="11" t="str">
        <f>Data!D233</f>
        <v>Vehicle, Battery Electric Vehicle</v>
      </c>
      <c r="C235" s="12">
        <f>Data!F233</f>
        <v>46087.385331759258</v>
      </c>
      <c r="D235" s="11" t="str">
        <f>Data!G233</f>
        <v>Energía de la batería del vehículo eléctrico</v>
      </c>
      <c r="E235" s="11" t="str">
        <f>Data!J233</f>
        <v>Telematics Device</v>
      </c>
      <c r="F235" s="13">
        <f>Data!L233</f>
        <v>0</v>
      </c>
      <c r="G235" s="11" t="str">
        <f>CONCATENATE(Data!N233," ",Data!P233)</f>
        <v>7176 W</v>
      </c>
    </row>
    <row r="236" spans="1:7" x14ac:dyDescent="0.3">
      <c r="A236" s="11" t="str">
        <f>Data!A234</f>
        <v>NISSAN LEAF 299-1018</v>
      </c>
      <c r="B236" s="11" t="str">
        <f>Data!D234</f>
        <v>Vehicle, Battery Electric Vehicle</v>
      </c>
      <c r="C236" s="12">
        <f>Data!F234</f>
        <v>46087.385610798614</v>
      </c>
      <c r="D236" s="11" t="str">
        <f>Data!G234</f>
        <v>Energía de la batería del vehículo eléctrico</v>
      </c>
      <c r="E236" s="11" t="str">
        <f>Data!J234</f>
        <v>Telematics Device</v>
      </c>
      <c r="F236" s="13">
        <f>Data!L234</f>
        <v>0</v>
      </c>
      <c r="G236" s="11" t="str">
        <f>CONCATENATE(Data!N234," ",Data!P234)</f>
        <v>-34175 W</v>
      </c>
    </row>
    <row r="237" spans="1:7" x14ac:dyDescent="0.3">
      <c r="A237" s="11" t="str">
        <f>Data!A235</f>
        <v>NISSAN LEAF 299-1018</v>
      </c>
      <c r="B237" s="11" t="str">
        <f>Data!D235</f>
        <v>Vehicle, Battery Electric Vehicle</v>
      </c>
      <c r="C237" s="12">
        <f>Data!F235</f>
        <v>46087.385738530094</v>
      </c>
      <c r="D237" s="11" t="str">
        <f>Data!G235</f>
        <v>Energía de la batería del vehículo eléctrico</v>
      </c>
      <c r="E237" s="11" t="str">
        <f>Data!J235</f>
        <v>Telematics Device</v>
      </c>
      <c r="F237" s="13">
        <f>Data!L235</f>
        <v>0</v>
      </c>
      <c r="G237" s="11" t="str">
        <f>CONCATENATE(Data!N235," ",Data!P235)</f>
        <v>-2220 W</v>
      </c>
    </row>
    <row r="238" spans="1:7" x14ac:dyDescent="0.3">
      <c r="A238" s="11" t="str">
        <f>Data!A236</f>
        <v>NISSAN LEAF 299-1018</v>
      </c>
      <c r="B238" s="11" t="str">
        <f>Data!D236</f>
        <v>Vehicle, Battery Electric Vehicle</v>
      </c>
      <c r="C238" s="12">
        <f>Data!F236</f>
        <v>46087.385808333333</v>
      </c>
      <c r="D238" s="11" t="str">
        <f>Data!G236</f>
        <v>Energía de la batería del vehículo eléctrico</v>
      </c>
      <c r="E238" s="11" t="str">
        <f>Data!J236</f>
        <v>Telematics Device</v>
      </c>
      <c r="F238" s="13">
        <f>Data!L236</f>
        <v>0</v>
      </c>
      <c r="G238" s="11" t="str">
        <f>CONCATENATE(Data!N236," ",Data!P236)</f>
        <v>-38213 W</v>
      </c>
    </row>
    <row r="239" spans="1:7" x14ac:dyDescent="0.3">
      <c r="A239" s="11" t="str">
        <f>Data!A237</f>
        <v>NISSAN LEAF 299-1018</v>
      </c>
      <c r="B239" s="11" t="str">
        <f>Data!D237</f>
        <v>Vehicle, Battery Electric Vehicle</v>
      </c>
      <c r="C239" s="12">
        <f>Data!F237</f>
        <v>46087.385819907409</v>
      </c>
      <c r="D239" s="11" t="str">
        <f>Data!G237</f>
        <v>Energía de la batería del vehículo eléctrico</v>
      </c>
      <c r="E239" s="11" t="str">
        <f>Data!J237</f>
        <v>Telematics Device</v>
      </c>
      <c r="F239" s="13">
        <f>Data!L237</f>
        <v>0</v>
      </c>
      <c r="G239" s="11" t="str">
        <f>CONCATENATE(Data!N237," ",Data!P237)</f>
        <v>-4862 W</v>
      </c>
    </row>
    <row r="240" spans="1:7" x14ac:dyDescent="0.3">
      <c r="A240" s="11" t="str">
        <f>Data!A238</f>
        <v>NISSAN LEAF 299-1018</v>
      </c>
      <c r="B240" s="11" t="str">
        <f>Data!D238</f>
        <v>Vehicle, Battery Electric Vehicle</v>
      </c>
      <c r="C240" s="12">
        <f>Data!F238</f>
        <v>46087.386029236113</v>
      </c>
      <c r="D240" s="11" t="str">
        <f>Data!G238</f>
        <v>Energía de la batería del vehículo eléctrico</v>
      </c>
      <c r="E240" s="11" t="str">
        <f>Data!J238</f>
        <v>Telematics Device</v>
      </c>
      <c r="F240" s="13">
        <f>Data!L238</f>
        <v>0</v>
      </c>
      <c r="G240" s="11" t="str">
        <f>CONCATENATE(Data!N238," ",Data!P238)</f>
        <v>-7410 W</v>
      </c>
    </row>
    <row r="241" spans="1:7" x14ac:dyDescent="0.3">
      <c r="A241" s="11" t="str">
        <f>Data!A239</f>
        <v>NISSAN LEAF 299-1018</v>
      </c>
      <c r="B241" s="11" t="str">
        <f>Data!D239</f>
        <v>Vehicle, Battery Electric Vehicle</v>
      </c>
      <c r="C241" s="12">
        <f>Data!F239</f>
        <v>46087.38604085648</v>
      </c>
      <c r="D241" s="11" t="str">
        <f>Data!G239</f>
        <v>Energía de la batería del vehículo eléctrico</v>
      </c>
      <c r="E241" s="11" t="str">
        <f>Data!J239</f>
        <v>Telematics Device</v>
      </c>
      <c r="F241" s="13">
        <f>Data!L239</f>
        <v>0</v>
      </c>
      <c r="G241" s="11" t="str">
        <f>CONCATENATE(Data!N239," ",Data!P239)</f>
        <v>-34271 W</v>
      </c>
    </row>
    <row r="242" spans="1:7" x14ac:dyDescent="0.3">
      <c r="A242" s="11" t="str">
        <f>Data!A240</f>
        <v>NISSAN LEAF 299-1018</v>
      </c>
      <c r="B242" s="11" t="str">
        <f>Data!D240</f>
        <v>Vehicle, Battery Electric Vehicle</v>
      </c>
      <c r="C242" s="12">
        <f>Data!F240</f>
        <v>46087.386273599535</v>
      </c>
      <c r="D242" s="11" t="str">
        <f>Data!G240</f>
        <v>Energía de la batería del vehículo eléctrico</v>
      </c>
      <c r="E242" s="11" t="str">
        <f>Data!J240</f>
        <v>Telematics Device</v>
      </c>
      <c r="F242" s="13">
        <f>Data!L240</f>
        <v>0</v>
      </c>
      <c r="G242" s="11" t="str">
        <f>CONCATENATE(Data!N240," ",Data!P240)</f>
        <v>5372 W</v>
      </c>
    </row>
    <row r="243" spans="1:7" x14ac:dyDescent="0.3">
      <c r="A243" s="11" t="str">
        <f>Data!A241</f>
        <v>NISSAN LEAF 299-1018</v>
      </c>
      <c r="B243" s="11" t="str">
        <f>Data!D241</f>
        <v>Vehicle, Battery Electric Vehicle</v>
      </c>
      <c r="C243" s="12">
        <f>Data!F241</f>
        <v>46087.386319988429</v>
      </c>
      <c r="D243" s="11" t="str">
        <f>Data!G241</f>
        <v>Energía de la batería del vehículo eléctrico</v>
      </c>
      <c r="E243" s="11" t="str">
        <f>Data!J241</f>
        <v>Telematics Device</v>
      </c>
      <c r="F243" s="13">
        <f>Data!L241</f>
        <v>0</v>
      </c>
      <c r="G243" s="11" t="str">
        <f>CONCATENATE(Data!N241," ",Data!P241)</f>
        <v>-31677 W</v>
      </c>
    </row>
    <row r="244" spans="1:7" x14ac:dyDescent="0.3">
      <c r="A244" s="11" t="str">
        <f>Data!A242</f>
        <v>NISSAN LEAF 299-1018</v>
      </c>
      <c r="B244" s="11" t="str">
        <f>Data!D242</f>
        <v>Vehicle, Battery Electric Vehicle</v>
      </c>
      <c r="C244" s="12">
        <f>Data!F242</f>
        <v>46087.386401770833</v>
      </c>
      <c r="D244" s="11" t="str">
        <f>Data!G242</f>
        <v>Energía de la batería del vehículo eléctrico</v>
      </c>
      <c r="E244" s="11" t="str">
        <f>Data!J242</f>
        <v>Telematics Device</v>
      </c>
      <c r="F244" s="13">
        <f>Data!L242</f>
        <v>0</v>
      </c>
      <c r="G244" s="11" t="str">
        <f>CONCATENATE(Data!N242," ",Data!P242)</f>
        <v>-7605 W</v>
      </c>
    </row>
    <row r="245" spans="1:7" x14ac:dyDescent="0.3">
      <c r="A245" s="11" t="str">
        <f>Data!A243</f>
        <v>NISSAN LEAF 299-1018</v>
      </c>
      <c r="B245" s="11" t="str">
        <f>Data!D243</f>
        <v>Vehicle, Battery Electric Vehicle</v>
      </c>
      <c r="C245" s="12">
        <f>Data!F243</f>
        <v>46087.386436817127</v>
      </c>
      <c r="D245" s="11" t="str">
        <f>Data!G243</f>
        <v>Energía de la batería del vehículo eléctrico</v>
      </c>
      <c r="E245" s="11" t="str">
        <f>Data!J243</f>
        <v>Telematics Device</v>
      </c>
      <c r="F245" s="13">
        <f>Data!L243</f>
        <v>0</v>
      </c>
      <c r="G245" s="11" t="str">
        <f>CONCATENATE(Data!N243," ",Data!P243)</f>
        <v>-38011 W</v>
      </c>
    </row>
    <row r="246" spans="1:7" x14ac:dyDescent="0.3">
      <c r="A246" s="11" t="str">
        <f>Data!A244</f>
        <v>NISSAN LEAF 299-1018</v>
      </c>
      <c r="B246" s="11" t="str">
        <f>Data!D244</f>
        <v>Vehicle, Battery Electric Vehicle</v>
      </c>
      <c r="C246" s="12">
        <f>Data!F244</f>
        <v>46087.386483333335</v>
      </c>
      <c r="D246" s="11" t="str">
        <f>Data!G244</f>
        <v>Energía de la batería del vehículo eléctrico</v>
      </c>
      <c r="E246" s="11" t="str">
        <f>Data!J244</f>
        <v>Telematics Device</v>
      </c>
      <c r="F246" s="13">
        <f>Data!L244</f>
        <v>0</v>
      </c>
      <c r="G246" s="11" t="str">
        <f>CONCATENATE(Data!N244," ",Data!P244)</f>
        <v>-1486 W</v>
      </c>
    </row>
    <row r="247" spans="1:7" x14ac:dyDescent="0.3">
      <c r="A247" s="11" t="str">
        <f>Data!A245</f>
        <v>NISSAN LEAF 299-1018</v>
      </c>
      <c r="B247" s="11" t="str">
        <f>Data!D245</f>
        <v>Vehicle, Battery Electric Vehicle</v>
      </c>
      <c r="C247" s="12">
        <f>Data!F245</f>
        <v>46087.386634525465</v>
      </c>
      <c r="D247" s="11" t="str">
        <f>Data!G245</f>
        <v>Energía de la batería del vehículo eléctrico</v>
      </c>
      <c r="E247" s="11" t="str">
        <f>Data!J245</f>
        <v>Telematics Device</v>
      </c>
      <c r="F247" s="13">
        <f>Data!L245</f>
        <v>0</v>
      </c>
      <c r="G247" s="11" t="str">
        <f>CONCATENATE(Data!N245," ",Data!P245)</f>
        <v>-42780 W</v>
      </c>
    </row>
    <row r="248" spans="1:7" x14ac:dyDescent="0.3">
      <c r="A248" s="11" t="str">
        <f>Data!A246</f>
        <v>NISSAN LEAF 299-1018</v>
      </c>
      <c r="B248" s="11" t="str">
        <f>Data!D246</f>
        <v>Vehicle, Battery Electric Vehicle</v>
      </c>
      <c r="C248" s="12">
        <f>Data!F246</f>
        <v>46087.386704733799</v>
      </c>
      <c r="D248" s="11" t="str">
        <f>Data!G246</f>
        <v>Energía de la batería del vehículo eléctrico</v>
      </c>
      <c r="E248" s="11" t="str">
        <f>Data!J246</f>
        <v>Telematics Device</v>
      </c>
      <c r="F248" s="13">
        <f>Data!L246</f>
        <v>0</v>
      </c>
      <c r="G248" s="11" t="str">
        <f>CONCATENATE(Data!N246," ",Data!P246)</f>
        <v>928 W</v>
      </c>
    </row>
    <row r="249" spans="1:7" x14ac:dyDescent="0.3">
      <c r="A249" s="11" t="str">
        <f>Data!A247</f>
        <v>NISSAN LEAF 299-1018</v>
      </c>
      <c r="B249" s="11" t="str">
        <f>Data!D247</f>
        <v>Vehicle, Battery Electric Vehicle</v>
      </c>
      <c r="C249" s="12">
        <f>Data!F247</f>
        <v>46087.386971666667</v>
      </c>
      <c r="D249" s="11" t="str">
        <f>Data!G247</f>
        <v>Energía de la batería del vehículo eléctrico</v>
      </c>
      <c r="E249" s="11" t="str">
        <f>Data!J247</f>
        <v>Telematics Device</v>
      </c>
      <c r="F249" s="13">
        <f>Data!L247</f>
        <v>0</v>
      </c>
      <c r="G249" s="11" t="str">
        <f>CONCATENATE(Data!N247," ",Data!P247)</f>
        <v>36085 W</v>
      </c>
    </row>
    <row r="250" spans="1:7" x14ac:dyDescent="0.3">
      <c r="A250" s="11" t="str">
        <f>Data!A248</f>
        <v>NISSAN LEAF 299-1018</v>
      </c>
      <c r="B250" s="11" t="str">
        <f>Data!D248</f>
        <v>Vehicle, Battery Electric Vehicle</v>
      </c>
      <c r="C250" s="12">
        <f>Data!F248</f>
        <v>46087.387575868059</v>
      </c>
      <c r="D250" s="11" t="str">
        <f>Data!G248</f>
        <v>Energía de la batería del vehículo eléctrico</v>
      </c>
      <c r="E250" s="11" t="str">
        <f>Data!J248</f>
        <v>Telematics Device</v>
      </c>
      <c r="F250" s="13">
        <f>Data!L248</f>
        <v>0</v>
      </c>
      <c r="G250" s="11" t="str">
        <f>CONCATENATE(Data!N248," ",Data!P248)</f>
        <v>5808 W</v>
      </c>
    </row>
    <row r="251" spans="1:7" x14ac:dyDescent="0.3">
      <c r="A251" s="11" t="str">
        <f>Data!A249</f>
        <v>NISSAN LEAF 299-1018</v>
      </c>
      <c r="B251" s="11" t="str">
        <f>Data!D249</f>
        <v>Vehicle, Battery Electric Vehicle</v>
      </c>
      <c r="C251" s="12">
        <f>Data!F249</f>
        <v>46087.387796539355</v>
      </c>
      <c r="D251" s="11" t="str">
        <f>Data!G249</f>
        <v>Energía de la batería del vehículo eléctrico</v>
      </c>
      <c r="E251" s="11" t="str">
        <f>Data!J249</f>
        <v>Telematics Device</v>
      </c>
      <c r="F251" s="13">
        <f>Data!L249</f>
        <v>0</v>
      </c>
      <c r="G251" s="11" t="str">
        <f>CONCATENATE(Data!N249," ",Data!P249)</f>
        <v>35670 W</v>
      </c>
    </row>
    <row r="252" spans="1:7" x14ac:dyDescent="0.3">
      <c r="A252" s="11" t="str">
        <f>Data!A250</f>
        <v>NISSAN LEAF 299-1018</v>
      </c>
      <c r="B252" s="11" t="str">
        <f>Data!D250</f>
        <v>Vehicle, Battery Electric Vehicle</v>
      </c>
      <c r="C252" s="12">
        <f>Data!F250</f>
        <v>46087.387843194447</v>
      </c>
      <c r="D252" s="11" t="str">
        <f>Data!G250</f>
        <v>Energía de la batería del vehículo eléctrico</v>
      </c>
      <c r="E252" s="11" t="str">
        <f>Data!J250</f>
        <v>Telematics Device</v>
      </c>
      <c r="F252" s="13">
        <f>Data!L250</f>
        <v>0</v>
      </c>
      <c r="G252" s="11" t="str">
        <f>CONCATENATE(Data!N250," ",Data!P250)</f>
        <v>-1263 W</v>
      </c>
    </row>
    <row r="253" spans="1:7" x14ac:dyDescent="0.3">
      <c r="A253" s="11" t="str">
        <f>Data!A251</f>
        <v>NISSAN LEAF 299-1018</v>
      </c>
      <c r="B253" s="11" t="str">
        <f>Data!D251</f>
        <v>Vehicle, Battery Electric Vehicle</v>
      </c>
      <c r="C253" s="12">
        <f>Data!F251</f>
        <v>46087.387901967595</v>
      </c>
      <c r="D253" s="11" t="str">
        <f>Data!G251</f>
        <v>Estado de carga genérico</v>
      </c>
      <c r="E253" s="11" t="str">
        <f>Data!J251</f>
        <v>Telematics Device</v>
      </c>
      <c r="F253" s="13">
        <f>Data!L251</f>
        <v>0</v>
      </c>
      <c r="G253" s="11" t="str">
        <f>CONCATENATE(Data!N251," ",Data!P251)</f>
        <v>69.755 %</v>
      </c>
    </row>
    <row r="254" spans="1:7" x14ac:dyDescent="0.3">
      <c r="A254" s="11" t="str">
        <f>Data!A252</f>
        <v>NISSAN LEAF 299-1018</v>
      </c>
      <c r="B254" s="11" t="str">
        <f>Data!D252</f>
        <v>Vehicle, Battery Electric Vehicle</v>
      </c>
      <c r="C254" s="12">
        <f>Data!F252</f>
        <v>46087.388029155096</v>
      </c>
      <c r="D254" s="11" t="str">
        <f>Data!G252</f>
        <v>Energía de la batería del vehículo eléctrico</v>
      </c>
      <c r="E254" s="11" t="str">
        <f>Data!J252</f>
        <v>Telematics Device</v>
      </c>
      <c r="F254" s="13">
        <f>Data!L252</f>
        <v>0</v>
      </c>
      <c r="G254" s="11" t="str">
        <f>CONCATENATE(Data!N252," ",Data!P252)</f>
        <v>26028 W</v>
      </c>
    </row>
    <row r="255" spans="1:7" x14ac:dyDescent="0.3">
      <c r="A255" s="11" t="str">
        <f>Data!A253</f>
        <v>NISSAN LEAF 299-1018</v>
      </c>
      <c r="B255" s="11" t="str">
        <f>Data!D253</f>
        <v>Vehicle, Battery Electric Vehicle</v>
      </c>
      <c r="C255" s="12">
        <f>Data!F253</f>
        <v>46087.388075671297</v>
      </c>
      <c r="D255" s="11" t="str">
        <f>Data!G253</f>
        <v>Energía de la batería del vehículo eléctrico</v>
      </c>
      <c r="E255" s="11" t="str">
        <f>Data!J253</f>
        <v>Telematics Device</v>
      </c>
      <c r="F255" s="13">
        <f>Data!L253</f>
        <v>0</v>
      </c>
      <c r="G255" s="11" t="str">
        <f>CONCATENATE(Data!N253," ",Data!P253)</f>
        <v>-30435 W</v>
      </c>
    </row>
    <row r="256" spans="1:7" x14ac:dyDescent="0.3">
      <c r="A256" s="11" t="str">
        <f>Data!A254</f>
        <v>NISSAN LEAF 299-1018</v>
      </c>
      <c r="B256" s="11" t="str">
        <f>Data!D254</f>
        <v>Vehicle, Battery Electric Vehicle</v>
      </c>
      <c r="C256" s="12">
        <f>Data!F254</f>
        <v>46087.388191782411</v>
      </c>
      <c r="D256" s="11" t="str">
        <f>Data!G254</f>
        <v>Energía de la batería del vehículo eléctrico</v>
      </c>
      <c r="E256" s="11" t="str">
        <f>Data!J254</f>
        <v>Telematics Device</v>
      </c>
      <c r="F256" s="13">
        <f>Data!L254</f>
        <v>0</v>
      </c>
      <c r="G256" s="11" t="str">
        <f>CONCATENATE(Data!N254," ",Data!P254)</f>
        <v>16153 W</v>
      </c>
    </row>
    <row r="257" spans="1:7" x14ac:dyDescent="0.3">
      <c r="A257" s="11" t="str">
        <f>Data!A255</f>
        <v>NISSAN LEAF 299-1018</v>
      </c>
      <c r="B257" s="11" t="str">
        <f>Data!D255</f>
        <v>Vehicle, Battery Electric Vehicle</v>
      </c>
      <c r="C257" s="12">
        <f>Data!F255</f>
        <v>46087.388238344909</v>
      </c>
      <c r="D257" s="11" t="str">
        <f>Data!G255</f>
        <v>Energía de la batería del vehículo eléctrico</v>
      </c>
      <c r="E257" s="11" t="str">
        <f>Data!J255</f>
        <v>Telematics Device</v>
      </c>
      <c r="F257" s="13">
        <f>Data!L255</f>
        <v>0</v>
      </c>
      <c r="G257" s="11" t="str">
        <f>CONCATENATE(Data!N255," ",Data!P255)</f>
        <v>-10023 W</v>
      </c>
    </row>
    <row r="258" spans="1:7" x14ac:dyDescent="0.3">
      <c r="A258" s="11" t="str">
        <f>Data!A256</f>
        <v>NISSAN LEAF 299-1018</v>
      </c>
      <c r="B258" s="11" t="str">
        <f>Data!D256</f>
        <v>Vehicle, Battery Electric Vehicle</v>
      </c>
      <c r="C258" s="12">
        <f>Data!F256</f>
        <v>46087.388633946757</v>
      </c>
      <c r="D258" s="11" t="str">
        <f>Data!G256</f>
        <v>Energía de la batería del vehículo eléctrico</v>
      </c>
      <c r="E258" s="11" t="str">
        <f>Data!J256</f>
        <v>Telematics Device</v>
      </c>
      <c r="F258" s="13">
        <f>Data!L256</f>
        <v>0</v>
      </c>
      <c r="G258" s="11" t="str">
        <f>CONCATENATE(Data!N256," ",Data!P256)</f>
        <v>-4191 W</v>
      </c>
    </row>
    <row r="259" spans="1:7" x14ac:dyDescent="0.3">
      <c r="A259" s="11" t="str">
        <f>Data!A257</f>
        <v>NISSAN LEAF 299-1018</v>
      </c>
      <c r="B259" s="11" t="str">
        <f>Data!D257</f>
        <v>Vehicle, Battery Electric Vehicle</v>
      </c>
      <c r="C259" s="12">
        <f>Data!F257</f>
        <v>46087.388680555552</v>
      </c>
      <c r="D259" s="11" t="str">
        <f>Data!G257</f>
        <v>Energía de la batería del vehículo eléctrico</v>
      </c>
      <c r="E259" s="11" t="str">
        <f>Data!J257</f>
        <v>Telematics Device</v>
      </c>
      <c r="F259" s="13">
        <f>Data!L257</f>
        <v>0</v>
      </c>
      <c r="G259" s="11" t="str">
        <f>CONCATENATE(Data!N257," ",Data!P257)</f>
        <v>36100 W</v>
      </c>
    </row>
    <row r="260" spans="1:7" x14ac:dyDescent="0.3">
      <c r="A260" s="11" t="str">
        <f>Data!A258</f>
        <v>NISSAN LEAF 299-1018</v>
      </c>
      <c r="B260" s="11" t="str">
        <f>Data!D258</f>
        <v>Vehicle, Battery Electric Vehicle</v>
      </c>
      <c r="C260" s="12">
        <f>Data!F258</f>
        <v>46087.388785127318</v>
      </c>
      <c r="D260" s="11" t="str">
        <f>Data!G258</f>
        <v>Energía de la batería del vehículo eléctrico</v>
      </c>
      <c r="E260" s="11" t="str">
        <f>Data!J258</f>
        <v>Telematics Device</v>
      </c>
      <c r="F260" s="13">
        <f>Data!L258</f>
        <v>0</v>
      </c>
      <c r="G260" s="11" t="str">
        <f>CONCATENATE(Data!N258," ",Data!P258)</f>
        <v>-5061 W</v>
      </c>
    </row>
    <row r="261" spans="1:7" x14ac:dyDescent="0.3">
      <c r="A261" s="11" t="str">
        <f>Data!A259</f>
        <v>NISSAN LEAF 299-1018</v>
      </c>
      <c r="B261" s="11" t="str">
        <f>Data!D259</f>
        <v>Vehicle, Battery Electric Vehicle</v>
      </c>
      <c r="C261" s="12">
        <f>Data!F259</f>
        <v>46087.389029456019</v>
      </c>
      <c r="D261" s="11" t="str">
        <f>Data!G259</f>
        <v>Energía de la batería del vehículo eléctrico</v>
      </c>
      <c r="E261" s="11" t="str">
        <f>Data!J259</f>
        <v>Telematics Device</v>
      </c>
      <c r="F261" s="13">
        <f>Data!L259</f>
        <v>0</v>
      </c>
      <c r="G261" s="11" t="str">
        <f>CONCATENATE(Data!N259," ",Data!P259)</f>
        <v>19393 W</v>
      </c>
    </row>
    <row r="262" spans="1:7" x14ac:dyDescent="0.3">
      <c r="A262" s="11" t="str">
        <f>Data!A260</f>
        <v>NISSAN LEAF 299-1018</v>
      </c>
      <c r="B262" s="11" t="str">
        <f>Data!D260</f>
        <v>Vehicle, Battery Electric Vehicle</v>
      </c>
      <c r="C262" s="12">
        <f>Data!F260</f>
        <v>46087.389122546294</v>
      </c>
      <c r="D262" s="11" t="str">
        <f>Data!G260</f>
        <v>Energía de la batería del vehículo eléctrico</v>
      </c>
      <c r="E262" s="11" t="str">
        <f>Data!J260</f>
        <v>Telematics Device</v>
      </c>
      <c r="F262" s="13">
        <f>Data!L260</f>
        <v>0</v>
      </c>
      <c r="G262" s="11" t="str">
        <f>CONCATENATE(Data!N260," ",Data!P260)</f>
        <v>-10206 W</v>
      </c>
    </row>
    <row r="263" spans="1:7" x14ac:dyDescent="0.3">
      <c r="A263" s="11" t="str">
        <f>Data!A261</f>
        <v>NISSAN LEAF 299-1018</v>
      </c>
      <c r="B263" s="11" t="str">
        <f>Data!D261</f>
        <v>Vehicle, Battery Electric Vehicle</v>
      </c>
      <c r="C263" s="12">
        <f>Data!F261</f>
        <v>46087.389203877312</v>
      </c>
      <c r="D263" s="11" t="str">
        <f>Data!G261</f>
        <v>Energía de la batería del vehículo eléctrico</v>
      </c>
      <c r="E263" s="11" t="str">
        <f>Data!J261</f>
        <v>Telematics Device</v>
      </c>
      <c r="F263" s="13">
        <f>Data!L261</f>
        <v>0</v>
      </c>
      <c r="G263" s="11" t="str">
        <f>CONCATENATE(Data!N261," ",Data!P261)</f>
        <v>39150 W</v>
      </c>
    </row>
    <row r="264" spans="1:7" x14ac:dyDescent="0.3">
      <c r="A264" s="11" t="str">
        <f>Data!A262</f>
        <v>NISSAN LEAF 299-1018</v>
      </c>
      <c r="B264" s="11" t="str">
        <f>Data!D262</f>
        <v>Vehicle, Battery Electric Vehicle</v>
      </c>
      <c r="C264" s="12">
        <f>Data!F262</f>
        <v>46087.389262013887</v>
      </c>
      <c r="D264" s="11" t="str">
        <f>Data!G262</f>
        <v>Energía de la batería del vehículo eléctrico</v>
      </c>
      <c r="E264" s="11" t="str">
        <f>Data!J262</f>
        <v>Telematics Device</v>
      </c>
      <c r="F264" s="13">
        <f>Data!L262</f>
        <v>0</v>
      </c>
      <c r="G264" s="11" t="str">
        <f>CONCATENATE(Data!N262," ",Data!P262)</f>
        <v>-11191 W</v>
      </c>
    </row>
    <row r="265" spans="1:7" x14ac:dyDescent="0.3">
      <c r="A265" s="11" t="str">
        <f>Data!A263</f>
        <v>NISSAN LEAF 299-1018</v>
      </c>
      <c r="B265" s="11" t="str">
        <f>Data!D263</f>
        <v>Vehicle, Battery Electric Vehicle</v>
      </c>
      <c r="C265" s="12">
        <f>Data!F263</f>
        <v>46087.389412974539</v>
      </c>
      <c r="D265" s="11" t="str">
        <f>Data!G263</f>
        <v>Energía de la batería del vehículo eléctrico</v>
      </c>
      <c r="E265" s="11" t="str">
        <f>Data!J263</f>
        <v>Telematics Device</v>
      </c>
      <c r="F265" s="13">
        <f>Data!L263</f>
        <v>0</v>
      </c>
      <c r="G265" s="11" t="str">
        <f>CONCATENATE(Data!N263," ",Data!P263)</f>
        <v>35788 W</v>
      </c>
    </row>
    <row r="266" spans="1:7" x14ac:dyDescent="0.3">
      <c r="A266" s="11" t="str">
        <f>Data!A264</f>
        <v>NISSAN LEAF 299-1018</v>
      </c>
      <c r="B266" s="11" t="str">
        <f>Data!D264</f>
        <v>Vehicle, Battery Electric Vehicle</v>
      </c>
      <c r="C266" s="12">
        <f>Data!F264</f>
        <v>46087.389669189812</v>
      </c>
      <c r="D266" s="11" t="str">
        <f>Data!G264</f>
        <v>Energía de la batería del vehículo eléctrico</v>
      </c>
      <c r="E266" s="11" t="str">
        <f>Data!J264</f>
        <v>Telematics Device</v>
      </c>
      <c r="F266" s="13">
        <f>Data!L264</f>
        <v>0</v>
      </c>
      <c r="G266" s="11" t="str">
        <f>CONCATENATE(Data!N264," ",Data!P264)</f>
        <v>-8178 W</v>
      </c>
    </row>
    <row r="267" spans="1:7" x14ac:dyDescent="0.3">
      <c r="A267" s="11" t="str">
        <f>Data!A265</f>
        <v>NISSAN LEAF 299-1018</v>
      </c>
      <c r="B267" s="11" t="str">
        <f>Data!D265</f>
        <v>Vehicle, Battery Electric Vehicle</v>
      </c>
      <c r="C267" s="12">
        <f>Data!F265</f>
        <v>46087.389761782404</v>
      </c>
      <c r="D267" s="11" t="str">
        <f>Data!G265</f>
        <v>Energía de la batería del vehículo eléctrico</v>
      </c>
      <c r="E267" s="11" t="str">
        <f>Data!J265</f>
        <v>Telematics Device</v>
      </c>
      <c r="F267" s="13">
        <f>Data!L265</f>
        <v>0</v>
      </c>
      <c r="G267" s="11" t="str">
        <f>CONCATENATE(Data!N265," ",Data!P265)</f>
        <v>23465 W</v>
      </c>
    </row>
    <row r="268" spans="1:7" x14ac:dyDescent="0.3">
      <c r="A268" s="11" t="str">
        <f>Data!A266</f>
        <v>NISSAN LEAF 299-1018</v>
      </c>
      <c r="B268" s="11" t="str">
        <f>Data!D266</f>
        <v>Vehicle, Battery Electric Vehicle</v>
      </c>
      <c r="C268" s="12">
        <f>Data!F266</f>
        <v>46087.389995069447</v>
      </c>
      <c r="D268" s="11" t="str">
        <f>Data!G266</f>
        <v>Estado de carga genérico</v>
      </c>
      <c r="E268" s="11" t="str">
        <f>Data!J266</f>
        <v>Telematics Device</v>
      </c>
      <c r="F268" s="13">
        <f>Data!L266</f>
        <v>0</v>
      </c>
      <c r="G268" s="11" t="str">
        <f>CONCATENATE(Data!N266," ",Data!P266)</f>
        <v>68.415 %</v>
      </c>
    </row>
    <row r="269" spans="1:7" x14ac:dyDescent="0.3">
      <c r="A269" s="11" t="str">
        <f>Data!A267</f>
        <v>NISSAN LEAF 299-1018</v>
      </c>
      <c r="B269" s="11" t="str">
        <f>Data!D267</f>
        <v>Vehicle, Battery Electric Vehicle</v>
      </c>
      <c r="C269" s="12">
        <f>Data!F267</f>
        <v>46087.390261550929</v>
      </c>
      <c r="D269" s="11" t="str">
        <f>Data!G267</f>
        <v>Energía de la batería del vehículo eléctrico</v>
      </c>
      <c r="E269" s="11" t="str">
        <f>Data!J267</f>
        <v>Telematics Device</v>
      </c>
      <c r="F269" s="13">
        <f>Data!L267</f>
        <v>0</v>
      </c>
      <c r="G269" s="11" t="str">
        <f>CONCATENATE(Data!N267," ",Data!P267)</f>
        <v>34726 W</v>
      </c>
    </row>
    <row r="270" spans="1:7" x14ac:dyDescent="0.3">
      <c r="A270" s="11" t="str">
        <f>Data!A268</f>
        <v>NISSAN LEAF 299-1018</v>
      </c>
      <c r="B270" s="11" t="str">
        <f>Data!D268</f>
        <v>Vehicle, Battery Electric Vehicle</v>
      </c>
      <c r="C270" s="12">
        <f>Data!F268</f>
        <v>46087.39031959491</v>
      </c>
      <c r="D270" s="11" t="str">
        <f>Data!G268</f>
        <v>Energía de la batería del vehículo eléctrico</v>
      </c>
      <c r="E270" s="11" t="str">
        <f>Data!J268</f>
        <v>Telematics Device</v>
      </c>
      <c r="F270" s="13">
        <f>Data!L268</f>
        <v>0</v>
      </c>
      <c r="G270" s="11" t="str">
        <f>CONCATENATE(Data!N268," ",Data!P268)</f>
        <v>-3410 W</v>
      </c>
    </row>
    <row r="271" spans="1:7" x14ac:dyDescent="0.3">
      <c r="A271" s="11" t="str">
        <f>Data!A269</f>
        <v>NISSAN LEAF 299-1018</v>
      </c>
      <c r="B271" s="11" t="str">
        <f>Data!D269</f>
        <v>Vehicle, Battery Electric Vehicle</v>
      </c>
      <c r="C271" s="12">
        <f>Data!F269</f>
        <v>46087.390493749997</v>
      </c>
      <c r="D271" s="11" t="str">
        <f>Data!G269</f>
        <v>Energía de la batería del vehículo eléctrico</v>
      </c>
      <c r="E271" s="11" t="str">
        <f>Data!J269</f>
        <v>Telematics Device</v>
      </c>
      <c r="F271" s="13">
        <f>Data!L269</f>
        <v>0</v>
      </c>
      <c r="G271" s="11" t="str">
        <f>CONCATENATE(Data!N269," ",Data!P269)</f>
        <v>33915 W</v>
      </c>
    </row>
    <row r="272" spans="1:7" x14ac:dyDescent="0.3">
      <c r="A272" s="11" t="str">
        <f>Data!A270</f>
        <v>NISSAN LEAF 299-1018</v>
      </c>
      <c r="B272" s="11" t="str">
        <f>Data!D270</f>
        <v>Vehicle, Battery Electric Vehicle</v>
      </c>
      <c r="C272" s="12">
        <f>Data!F270</f>
        <v>46087.390551898148</v>
      </c>
      <c r="D272" s="11" t="str">
        <f>Data!G270</f>
        <v>Energía de la batería del vehículo eléctrico</v>
      </c>
      <c r="E272" s="11" t="str">
        <f>Data!J270</f>
        <v>Telematics Device</v>
      </c>
      <c r="F272" s="13">
        <f>Data!L270</f>
        <v>0</v>
      </c>
      <c r="G272" s="11" t="str">
        <f>CONCATENATE(Data!N270," ",Data!P270)</f>
        <v>-1795 W</v>
      </c>
    </row>
    <row r="273" spans="1:7" x14ac:dyDescent="0.3">
      <c r="A273" s="11" t="str">
        <f>Data!A271</f>
        <v>NISSAN LEAF 299-1018</v>
      </c>
      <c r="B273" s="11" t="str">
        <f>Data!D271</f>
        <v>Vehicle, Battery Electric Vehicle</v>
      </c>
      <c r="C273" s="12">
        <f>Data!F271</f>
        <v>46087.390924479165</v>
      </c>
      <c r="D273" s="11" t="str">
        <f>Data!G271</f>
        <v>Estado de carga genérico</v>
      </c>
      <c r="E273" s="11" t="str">
        <f>Data!J271</f>
        <v>Telematics Device</v>
      </c>
      <c r="F273" s="13">
        <f>Data!L271</f>
        <v>0</v>
      </c>
      <c r="G273" s="11" t="str">
        <f>CONCATENATE(Data!N271," ",Data!P271)</f>
        <v>67.075 %</v>
      </c>
    </row>
    <row r="274" spans="1:7" x14ac:dyDescent="0.3">
      <c r="A274" s="11" t="str">
        <f>Data!A272</f>
        <v>NISSAN LEAF 299-1018</v>
      </c>
      <c r="B274" s="11" t="str">
        <f>Data!D272</f>
        <v>Vehicle, Battery Electric Vehicle</v>
      </c>
      <c r="C274" s="12">
        <f>Data!F272</f>
        <v>46087.390993472225</v>
      </c>
      <c r="D274" s="11" t="str">
        <f>Data!G272</f>
        <v>Energía de la batería del vehículo eléctrico</v>
      </c>
      <c r="E274" s="11" t="str">
        <f>Data!J272</f>
        <v>Telematics Device</v>
      </c>
      <c r="F274" s="13">
        <f>Data!L272</f>
        <v>0</v>
      </c>
      <c r="G274" s="11" t="str">
        <f>CONCATENATE(Data!N272," ",Data!P272)</f>
        <v>34189 W</v>
      </c>
    </row>
    <row r="275" spans="1:7" x14ac:dyDescent="0.3">
      <c r="A275" s="11" t="str">
        <f>Data!A273</f>
        <v>NISSAN LEAF 299-1018</v>
      </c>
      <c r="B275" s="11" t="str">
        <f>Data!D273</f>
        <v>Vehicle, Battery Electric Vehicle</v>
      </c>
      <c r="C275" s="12">
        <f>Data!F273</f>
        <v>46087.391016574074</v>
      </c>
      <c r="D275" s="11" t="str">
        <f>Data!G273</f>
        <v>Energía de la batería del vehículo eléctrico</v>
      </c>
      <c r="E275" s="11" t="str">
        <f>Data!J273</f>
        <v>Telematics Device</v>
      </c>
      <c r="F275" s="13">
        <f>Data!L273</f>
        <v>0</v>
      </c>
      <c r="G275" s="11" t="str">
        <f>CONCATENATE(Data!N273," ",Data!P273)</f>
        <v>1247 W</v>
      </c>
    </row>
    <row r="276" spans="1:7" x14ac:dyDescent="0.3">
      <c r="A276" s="11" t="str">
        <f>Data!A274</f>
        <v>NISSAN LEAF 299-1018</v>
      </c>
      <c r="B276" s="11" t="str">
        <f>Data!D274</f>
        <v>Vehicle, Battery Electric Vehicle</v>
      </c>
      <c r="C276" s="12">
        <f>Data!F274</f>
        <v>46087.391086249998</v>
      </c>
      <c r="D276" s="11" t="str">
        <f>Data!G274</f>
        <v>Energía de la batería del vehículo eléctrico</v>
      </c>
      <c r="E276" s="11" t="str">
        <f>Data!J274</f>
        <v>Telematics Device</v>
      </c>
      <c r="F276" s="13">
        <f>Data!L274</f>
        <v>0</v>
      </c>
      <c r="G276" s="11" t="str">
        <f>CONCATENATE(Data!N274," ",Data!P274)</f>
        <v>29946 W</v>
      </c>
    </row>
    <row r="277" spans="1:7" x14ac:dyDescent="0.3">
      <c r="A277" s="11" t="str">
        <f>Data!A275</f>
        <v>NISSAN LEAF 299-1018</v>
      </c>
      <c r="B277" s="11" t="str">
        <f>Data!D275</f>
        <v>Vehicle, Battery Electric Vehicle</v>
      </c>
      <c r="C277" s="12">
        <f>Data!F275</f>
        <v>46087.391121053239</v>
      </c>
      <c r="D277" s="11" t="str">
        <f>Data!G275</f>
        <v>Energía de la batería del vehículo eléctrico</v>
      </c>
      <c r="E277" s="11" t="str">
        <f>Data!J275</f>
        <v>Telematics Device</v>
      </c>
      <c r="F277" s="13">
        <f>Data!L275</f>
        <v>0</v>
      </c>
      <c r="G277" s="11" t="str">
        <f>CONCATENATE(Data!N275," ",Data!P275)</f>
        <v>-6849 W</v>
      </c>
    </row>
    <row r="278" spans="1:7" x14ac:dyDescent="0.3">
      <c r="A278" s="11" t="str">
        <f>Data!A276</f>
        <v>NISSAN LEAF 299-1018</v>
      </c>
      <c r="B278" s="11" t="str">
        <f>Data!D276</f>
        <v>Vehicle, Battery Electric Vehicle</v>
      </c>
      <c r="C278" s="12">
        <f>Data!F276</f>
        <v>46087.391446944443</v>
      </c>
      <c r="D278" s="11" t="str">
        <f>Data!G276</f>
        <v>Energía de la batería del vehículo eléctrico</v>
      </c>
      <c r="E278" s="11" t="str">
        <f>Data!J276</f>
        <v>Telematics Device</v>
      </c>
      <c r="F278" s="13">
        <f>Data!L276</f>
        <v>0</v>
      </c>
      <c r="G278" s="11" t="str">
        <f>CONCATENATE(Data!N276," ",Data!P276)</f>
        <v>21840 W</v>
      </c>
    </row>
    <row r="279" spans="1:7" x14ac:dyDescent="0.3">
      <c r="A279" s="11" t="str">
        <f>Data!A277</f>
        <v>NISSAN LEAF 299-1018</v>
      </c>
      <c r="B279" s="11" t="str">
        <f>Data!D277</f>
        <v>Vehicle, Battery Electric Vehicle</v>
      </c>
      <c r="C279" s="12">
        <f>Data!F277</f>
        <v>46087.39152809028</v>
      </c>
      <c r="D279" s="11" t="str">
        <f>Data!G277</f>
        <v>Energía de la batería del vehículo eléctrico</v>
      </c>
      <c r="E279" s="11" t="str">
        <f>Data!J277</f>
        <v>Telematics Device</v>
      </c>
      <c r="F279" s="13">
        <f>Data!L277</f>
        <v>0</v>
      </c>
      <c r="G279" s="11" t="str">
        <f>CONCATENATE(Data!N277," ",Data!P277)</f>
        <v>-11632 W</v>
      </c>
    </row>
    <row r="280" spans="1:7" x14ac:dyDescent="0.3">
      <c r="A280" s="11" t="str">
        <f>Data!A278</f>
        <v>NISSAN LEAF 299-1018</v>
      </c>
      <c r="B280" s="11" t="str">
        <f>Data!D278</f>
        <v>Vehicle, Battery Electric Vehicle</v>
      </c>
      <c r="C280" s="12">
        <f>Data!F278</f>
        <v>46087.391726122682</v>
      </c>
      <c r="D280" s="11" t="str">
        <f>Data!G278</f>
        <v>Energía de la batería del vehículo eléctrico</v>
      </c>
      <c r="E280" s="11" t="str">
        <f>Data!J278</f>
        <v>Telematics Device</v>
      </c>
      <c r="F280" s="13">
        <f>Data!L278</f>
        <v>0</v>
      </c>
      <c r="G280" s="11" t="str">
        <f>CONCATENATE(Data!N278," ",Data!P278)</f>
        <v>28580 W</v>
      </c>
    </row>
    <row r="281" spans="1:7" x14ac:dyDescent="0.3">
      <c r="A281" s="11" t="str">
        <f>Data!A279</f>
        <v>NISSAN LEAF 299-1018</v>
      </c>
      <c r="B281" s="11" t="str">
        <f>Data!D279</f>
        <v>Vehicle, Battery Electric Vehicle</v>
      </c>
      <c r="C281" s="12">
        <f>Data!F279</f>
        <v>46087.391772685187</v>
      </c>
      <c r="D281" s="11" t="str">
        <f>Data!G279</f>
        <v>Energía de la batería del vehículo eléctrico</v>
      </c>
      <c r="E281" s="11" t="str">
        <f>Data!J279</f>
        <v>Telematics Device</v>
      </c>
      <c r="F281" s="13">
        <f>Data!L279</f>
        <v>0</v>
      </c>
      <c r="G281" s="11" t="str">
        <f>CONCATENATE(Data!N279," ",Data!P279)</f>
        <v>-4481 W</v>
      </c>
    </row>
    <row r="282" spans="1:7" x14ac:dyDescent="0.3">
      <c r="A282" s="11" t="str">
        <f>Data!A280</f>
        <v>NISSAN LEAF 299-1018</v>
      </c>
      <c r="B282" s="11" t="str">
        <f>Data!D280</f>
        <v>Vehicle, Battery Electric Vehicle</v>
      </c>
      <c r="C282" s="12">
        <f>Data!F280</f>
        <v>46087.391866053244</v>
      </c>
      <c r="D282" s="11" t="str">
        <f>Data!G280</f>
        <v>Energía de la batería del vehículo eléctrico</v>
      </c>
      <c r="E282" s="11" t="str">
        <f>Data!J280</f>
        <v>Telematics Device</v>
      </c>
      <c r="F282" s="13">
        <f>Data!L280</f>
        <v>0</v>
      </c>
      <c r="G282" s="11" t="str">
        <f>CONCATENATE(Data!N280," ",Data!P280)</f>
        <v>25305 W</v>
      </c>
    </row>
    <row r="283" spans="1:7" x14ac:dyDescent="0.3">
      <c r="A283" s="11" t="str">
        <f>Data!A281</f>
        <v>NISSAN LEAF 299-1018</v>
      </c>
      <c r="B283" s="11" t="str">
        <f>Data!D281</f>
        <v>Vehicle, Battery Electric Vehicle</v>
      </c>
      <c r="C283" s="12">
        <f>Data!F281</f>
        <v>46087.391901226852</v>
      </c>
      <c r="D283" s="11" t="str">
        <f>Data!G281</f>
        <v>Energía de la batería del vehículo eléctrico</v>
      </c>
      <c r="E283" s="11" t="str">
        <f>Data!J281</f>
        <v>Telematics Device</v>
      </c>
      <c r="F283" s="13">
        <f>Data!L281</f>
        <v>0</v>
      </c>
      <c r="G283" s="11" t="str">
        <f>CONCATENATE(Data!N281," ",Data!P281)</f>
        <v>-1260 W</v>
      </c>
    </row>
    <row r="284" spans="1:7" x14ac:dyDescent="0.3">
      <c r="A284" s="11" t="str">
        <f>Data!A282</f>
        <v>NISSAN LEAF 299-1018</v>
      </c>
      <c r="B284" s="11" t="str">
        <f>Data!D282</f>
        <v>Vehicle, Battery Electric Vehicle</v>
      </c>
      <c r="C284" s="12">
        <f>Data!F282</f>
        <v>46087.391982604167</v>
      </c>
      <c r="D284" s="11" t="str">
        <f>Data!G282</f>
        <v>Energía de la batería del vehículo eléctrico</v>
      </c>
      <c r="E284" s="11" t="str">
        <f>Data!J282</f>
        <v>Telematics Device</v>
      </c>
      <c r="F284" s="13">
        <f>Data!L282</f>
        <v>0</v>
      </c>
      <c r="G284" s="11" t="str">
        <f>CONCATENATE(Data!N282," ",Data!P282)</f>
        <v>37024 W</v>
      </c>
    </row>
    <row r="285" spans="1:7" x14ac:dyDescent="0.3">
      <c r="A285" s="11" t="str">
        <f>Data!A283</f>
        <v>NISSAN LEAF 299-1018</v>
      </c>
      <c r="B285" s="11" t="str">
        <f>Data!D283</f>
        <v>Vehicle, Battery Electric Vehicle</v>
      </c>
      <c r="C285" s="12">
        <f>Data!F283</f>
        <v>46087.392017465281</v>
      </c>
      <c r="D285" s="11" t="str">
        <f>Data!G283</f>
        <v>Energía de la batería del vehículo eléctrico</v>
      </c>
      <c r="E285" s="11" t="str">
        <f>Data!J283</f>
        <v>Telematics Device</v>
      </c>
      <c r="F285" s="13">
        <f>Data!L283</f>
        <v>0</v>
      </c>
      <c r="G285" s="11" t="str">
        <f>CONCATENATE(Data!N283," ",Data!P283)</f>
        <v>1955 W</v>
      </c>
    </row>
    <row r="286" spans="1:7" x14ac:dyDescent="0.3">
      <c r="A286" s="11" t="str">
        <f>Data!A284</f>
        <v>NISSAN LEAF 299-1018</v>
      </c>
      <c r="B286" s="11" t="str">
        <f>Data!D284</f>
        <v>Vehicle, Battery Electric Vehicle</v>
      </c>
      <c r="C286" s="12">
        <f>Data!F284</f>
        <v>46087.392133657406</v>
      </c>
      <c r="D286" s="11" t="str">
        <f>Data!G284</f>
        <v>Energía de la batería del vehículo eléctrico</v>
      </c>
      <c r="E286" s="11" t="str">
        <f>Data!J284</f>
        <v>Telematics Device</v>
      </c>
      <c r="F286" s="13">
        <f>Data!L284</f>
        <v>0</v>
      </c>
      <c r="G286" s="11" t="str">
        <f>CONCATENATE(Data!N284," ",Data!P284)</f>
        <v>-23645 W</v>
      </c>
    </row>
    <row r="287" spans="1:7" x14ac:dyDescent="0.3">
      <c r="A287" s="11" t="str">
        <f>Data!A285</f>
        <v>NISSAN LEAF 299-1018</v>
      </c>
      <c r="B287" s="11" t="str">
        <f>Data!D285</f>
        <v>Vehicle, Battery Electric Vehicle</v>
      </c>
      <c r="C287" s="12">
        <f>Data!F285</f>
        <v>46087.392505520831</v>
      </c>
      <c r="D287" s="11" t="str">
        <f>Data!G285</f>
        <v>Energía de la batería del vehículo eléctrico</v>
      </c>
      <c r="E287" s="11" t="str">
        <f>Data!J285</f>
        <v>Telematics Device</v>
      </c>
      <c r="F287" s="13">
        <f>Data!L285</f>
        <v>0</v>
      </c>
      <c r="G287" s="11" t="str">
        <f>CONCATENATE(Data!N285," ",Data!P285)</f>
        <v>28957 W</v>
      </c>
    </row>
    <row r="288" spans="1:7" x14ac:dyDescent="0.3">
      <c r="A288" s="11" t="str">
        <f>Data!A286</f>
        <v>NISSAN LEAF 299-1018</v>
      </c>
      <c r="B288" s="11" t="str">
        <f>Data!D286</f>
        <v>Vehicle, Battery Electric Vehicle</v>
      </c>
      <c r="C288" s="12">
        <f>Data!F286</f>
        <v>46087.392668321758</v>
      </c>
      <c r="D288" s="11" t="str">
        <f>Data!G286</f>
        <v>Energía de la batería del vehículo eléctrico</v>
      </c>
      <c r="E288" s="11" t="str">
        <f>Data!J286</f>
        <v>Telematics Device</v>
      </c>
      <c r="F288" s="13">
        <f>Data!L286</f>
        <v>0</v>
      </c>
      <c r="G288" s="11" t="str">
        <f>CONCATENATE(Data!N286," ",Data!P286)</f>
        <v>-5556 W</v>
      </c>
    </row>
    <row r="289" spans="1:7" x14ac:dyDescent="0.3">
      <c r="A289" s="11" t="str">
        <f>Data!A287</f>
        <v>NISSAN LEAF 299-1018</v>
      </c>
      <c r="B289" s="11" t="str">
        <f>Data!D287</f>
        <v>Vehicle, Battery Electric Vehicle</v>
      </c>
      <c r="C289" s="12">
        <f>Data!F287</f>
        <v>46087.392779363428</v>
      </c>
      <c r="D289" s="11" t="str">
        <f>Data!G287</f>
        <v>Estado de carga genérico</v>
      </c>
      <c r="E289" s="11" t="str">
        <f>Data!J287</f>
        <v>Telematics Device</v>
      </c>
      <c r="F289" s="13">
        <f>Data!L287</f>
        <v>0</v>
      </c>
      <c r="G289" s="11" t="str">
        <f>CONCATENATE(Data!N287," ",Data!P287)</f>
        <v>65.975 %</v>
      </c>
    </row>
    <row r="290" spans="1:7" x14ac:dyDescent="0.3">
      <c r="A290" s="11" t="str">
        <f>Data!A288</f>
        <v>NISSAN LEAF 299-1018</v>
      </c>
      <c r="B290" s="11" t="str">
        <f>Data!D288</f>
        <v>Vehicle, Battery Electric Vehicle</v>
      </c>
      <c r="C290" s="12">
        <f>Data!F288</f>
        <v>46087.392958715274</v>
      </c>
      <c r="D290" s="11" t="str">
        <f>Data!G288</f>
        <v>Energía de la batería del vehículo eléctrico</v>
      </c>
      <c r="E290" s="11" t="str">
        <f>Data!J288</f>
        <v>Telematics Device</v>
      </c>
      <c r="F290" s="13">
        <f>Data!L288</f>
        <v>0</v>
      </c>
      <c r="G290" s="11" t="str">
        <f>CONCATENATE(Data!N288," ",Data!P288)</f>
        <v>25525 W</v>
      </c>
    </row>
    <row r="291" spans="1:7" x14ac:dyDescent="0.3">
      <c r="A291" s="11" t="str">
        <f>Data!A289</f>
        <v>NISSAN LEAF 299-1018</v>
      </c>
      <c r="B291" s="11" t="str">
        <f>Data!D289</f>
        <v>Vehicle, Battery Electric Vehicle</v>
      </c>
      <c r="C291" s="12">
        <f>Data!F289</f>
        <v>46087.39324946759</v>
      </c>
      <c r="D291" s="11" t="str">
        <f>Data!G289</f>
        <v>Energía de la batería del vehículo eléctrico</v>
      </c>
      <c r="E291" s="11" t="str">
        <f>Data!J289</f>
        <v>Telematics Device</v>
      </c>
      <c r="F291" s="13">
        <f>Data!L289</f>
        <v>0</v>
      </c>
      <c r="G291" s="11" t="str">
        <f>CONCATENATE(Data!N289," ",Data!P289)</f>
        <v>-20967 W</v>
      </c>
    </row>
    <row r="292" spans="1:7" x14ac:dyDescent="0.3">
      <c r="A292" s="11" t="str">
        <f>Data!A290</f>
        <v>NISSAN LEAF 299-1018</v>
      </c>
      <c r="B292" s="11" t="str">
        <f>Data!D290</f>
        <v>Vehicle, Battery Electric Vehicle</v>
      </c>
      <c r="C292" s="12">
        <f>Data!F290</f>
        <v>46087.393714421298</v>
      </c>
      <c r="D292" s="11" t="str">
        <f>Data!G290</f>
        <v>Energía de la batería del vehículo eléctrico</v>
      </c>
      <c r="E292" s="11" t="str">
        <f>Data!J290</f>
        <v>Telematics Device</v>
      </c>
      <c r="F292" s="13">
        <f>Data!L290</f>
        <v>0</v>
      </c>
      <c r="G292" s="11" t="str">
        <f>CONCATENATE(Data!N290," ",Data!P290)</f>
        <v>32399 W</v>
      </c>
    </row>
    <row r="293" spans="1:7" x14ac:dyDescent="0.3">
      <c r="A293" s="11" t="str">
        <f>Data!A291</f>
        <v>NISSAN LEAF 299-1018</v>
      </c>
      <c r="B293" s="11" t="str">
        <f>Data!D291</f>
        <v>Vehicle, Battery Electric Vehicle</v>
      </c>
      <c r="C293" s="12">
        <f>Data!F291</f>
        <v>46087.393726041664</v>
      </c>
      <c r="D293" s="11" t="str">
        <f>Data!G291</f>
        <v>Energía de la batería del vehículo eléctrico</v>
      </c>
      <c r="E293" s="11" t="str">
        <f>Data!J291</f>
        <v>Telematics Device</v>
      </c>
      <c r="F293" s="13">
        <f>Data!L291</f>
        <v>0</v>
      </c>
      <c r="G293" s="11" t="str">
        <f>CONCATENATE(Data!N291," ",Data!P291)</f>
        <v>535 W</v>
      </c>
    </row>
    <row r="294" spans="1:7" x14ac:dyDescent="0.3">
      <c r="A294" s="11" t="str">
        <f>Data!A292</f>
        <v>NISSAN LEAF 299-1018</v>
      </c>
      <c r="B294" s="11" t="str">
        <f>Data!D292</f>
        <v>Vehicle, Battery Electric Vehicle</v>
      </c>
      <c r="C294" s="12">
        <f>Data!F292</f>
        <v>46087.393749282404</v>
      </c>
      <c r="D294" s="11" t="str">
        <f>Data!G292</f>
        <v>Energía de la batería del vehículo eléctrico</v>
      </c>
      <c r="E294" s="11" t="str">
        <f>Data!J292</f>
        <v>Telematics Device</v>
      </c>
      <c r="F294" s="13">
        <f>Data!L292</f>
        <v>0</v>
      </c>
      <c r="G294" s="11" t="str">
        <f>CONCATENATE(Data!N292," ",Data!P292)</f>
        <v>31904 W</v>
      </c>
    </row>
    <row r="295" spans="1:7" x14ac:dyDescent="0.3">
      <c r="A295" s="11" t="str">
        <f>Data!A293</f>
        <v>NISSAN LEAF 299-1018</v>
      </c>
      <c r="B295" s="11" t="str">
        <f>Data!D293</f>
        <v>Vehicle, Battery Electric Vehicle</v>
      </c>
      <c r="C295" s="12">
        <f>Data!F293</f>
        <v>46087.394063587963</v>
      </c>
      <c r="D295" s="11" t="str">
        <f>Data!G293</f>
        <v>Energía de la batería del vehículo eléctrico</v>
      </c>
      <c r="E295" s="11" t="str">
        <f>Data!J293</f>
        <v>Telematics Device</v>
      </c>
      <c r="F295" s="13">
        <f>Data!L293</f>
        <v>0</v>
      </c>
      <c r="G295" s="11" t="str">
        <f>CONCATENATE(Data!N293," ",Data!P293)</f>
        <v>30217 W</v>
      </c>
    </row>
    <row r="296" spans="1:7" x14ac:dyDescent="0.3">
      <c r="A296" s="11" t="str">
        <f>Data!A294</f>
        <v>NISSAN LEAF 299-1018</v>
      </c>
      <c r="B296" s="11" t="str">
        <f>Data!D294</f>
        <v>Vehicle, Battery Electric Vehicle</v>
      </c>
      <c r="C296" s="12">
        <f>Data!F294</f>
        <v>46087.394145011574</v>
      </c>
      <c r="D296" s="11" t="str">
        <f>Data!G294</f>
        <v>Energía de la batería del vehículo eléctrico</v>
      </c>
      <c r="E296" s="11" t="str">
        <f>Data!J294</f>
        <v>Telematics Device</v>
      </c>
      <c r="F296" s="13">
        <f>Data!L294</f>
        <v>0</v>
      </c>
      <c r="G296" s="11" t="str">
        <f>CONCATENATE(Data!N294," ",Data!P294)</f>
        <v>6052 W</v>
      </c>
    </row>
    <row r="297" spans="1:7" x14ac:dyDescent="0.3">
      <c r="A297" s="11" t="str">
        <f>Data!A295</f>
        <v>NISSAN LEAF 299-1018</v>
      </c>
      <c r="B297" s="11" t="str">
        <f>Data!D295</f>
        <v>Vehicle, Battery Electric Vehicle</v>
      </c>
      <c r="C297" s="12">
        <f>Data!F295</f>
        <v>46087.394168344908</v>
      </c>
      <c r="D297" s="11" t="str">
        <f>Data!G295</f>
        <v>Energía de la batería del vehículo eléctrico</v>
      </c>
      <c r="E297" s="11" t="str">
        <f>Data!J295</f>
        <v>Telematics Device</v>
      </c>
      <c r="F297" s="13">
        <f>Data!L295</f>
        <v>0</v>
      </c>
      <c r="G297" s="11" t="str">
        <f>CONCATENATE(Data!N295," ",Data!P295)</f>
        <v>-41823 W</v>
      </c>
    </row>
    <row r="298" spans="1:7" x14ac:dyDescent="0.3">
      <c r="A298" s="11" t="str">
        <f>Data!A296</f>
        <v>NISSAN LEAF 299-1018</v>
      </c>
      <c r="B298" s="11" t="str">
        <f>Data!D296</f>
        <v>Vehicle, Battery Electric Vehicle</v>
      </c>
      <c r="C298" s="12">
        <f>Data!F296</f>
        <v>46087.394169155094</v>
      </c>
      <c r="D298" s="11" t="str">
        <f>Data!G296</f>
        <v>Estado de carga genérico</v>
      </c>
      <c r="E298" s="11" t="str">
        <f>Data!J296</f>
        <v>Telematics Device</v>
      </c>
      <c r="F298" s="13">
        <f>Data!L296</f>
        <v>0</v>
      </c>
      <c r="G298" s="11" t="str">
        <f>CONCATENATE(Data!N296," ",Data!P296)</f>
        <v>64.755 %</v>
      </c>
    </row>
    <row r="299" spans="1:7" x14ac:dyDescent="0.3">
      <c r="A299" s="11" t="str">
        <f>Data!A297</f>
        <v>NISSAN LEAF 299-1018</v>
      </c>
      <c r="B299" s="11" t="str">
        <f>Data!D297</f>
        <v>Vehicle, Battery Electric Vehicle</v>
      </c>
      <c r="C299" s="12">
        <f>Data!F297</f>
        <v>46087.394307731483</v>
      </c>
      <c r="D299" s="11" t="str">
        <f>Data!G297</f>
        <v>Energía de la batería del vehículo eléctrico</v>
      </c>
      <c r="E299" s="11" t="str">
        <f>Data!J297</f>
        <v>Telematics Device</v>
      </c>
      <c r="F299" s="13">
        <f>Data!L297</f>
        <v>0</v>
      </c>
      <c r="G299" s="11" t="str">
        <f>CONCATENATE(Data!N297," ",Data!P297)</f>
        <v>29672 W</v>
      </c>
    </row>
    <row r="300" spans="1:7" x14ac:dyDescent="0.3">
      <c r="A300" s="11" t="str">
        <f>Data!A298</f>
        <v>NISSAN LEAF 299-1018</v>
      </c>
      <c r="B300" s="11" t="str">
        <f>Data!D298</f>
        <v>Vehicle, Battery Electric Vehicle</v>
      </c>
      <c r="C300" s="12">
        <f>Data!F298</f>
        <v>46087.394563530092</v>
      </c>
      <c r="D300" s="11" t="str">
        <f>Data!G298</f>
        <v>Energía de la batería del vehículo eléctrico</v>
      </c>
      <c r="E300" s="11" t="str">
        <f>Data!J298</f>
        <v>Telematics Device</v>
      </c>
      <c r="F300" s="13">
        <f>Data!L298</f>
        <v>0</v>
      </c>
      <c r="G300" s="11" t="str">
        <f>CONCATENATE(Data!N298," ",Data!P298)</f>
        <v>-23200 W</v>
      </c>
    </row>
    <row r="301" spans="1:7" x14ac:dyDescent="0.3">
      <c r="A301" s="11" t="str">
        <f>Data!A299</f>
        <v>NISSAN LEAF 299-1018</v>
      </c>
      <c r="B301" s="11" t="str">
        <f>Data!D299</f>
        <v>Vehicle, Battery Electric Vehicle</v>
      </c>
      <c r="C301" s="12">
        <f>Data!F299</f>
        <v>46087.394796006942</v>
      </c>
      <c r="D301" s="11" t="str">
        <f>Data!G299</f>
        <v>Energía de la batería del vehículo eléctrico</v>
      </c>
      <c r="E301" s="11" t="str">
        <f>Data!J299</f>
        <v>Telematics Device</v>
      </c>
      <c r="F301" s="13">
        <f>Data!L299</f>
        <v>0</v>
      </c>
      <c r="G301" s="11" t="str">
        <f>CONCATENATE(Data!N299," ",Data!P299)</f>
        <v>38626 W</v>
      </c>
    </row>
    <row r="302" spans="1:7" x14ac:dyDescent="0.3">
      <c r="A302" s="11" t="str">
        <f>Data!A300</f>
        <v>NISSAN LEAF 299-1018</v>
      </c>
      <c r="B302" s="11" t="str">
        <f>Data!D300</f>
        <v>Vehicle, Battery Electric Vehicle</v>
      </c>
      <c r="C302" s="12">
        <f>Data!F300</f>
        <v>46087.394842534719</v>
      </c>
      <c r="D302" s="11" t="str">
        <f>Data!G300</f>
        <v>Energía de la batería del vehículo eléctrico</v>
      </c>
      <c r="E302" s="11" t="str">
        <f>Data!J300</f>
        <v>Telematics Device</v>
      </c>
      <c r="F302" s="13">
        <f>Data!L300</f>
        <v>0</v>
      </c>
      <c r="G302" s="11" t="str">
        <f>CONCATENATE(Data!N300," ",Data!P300)</f>
        <v>-3217 W</v>
      </c>
    </row>
    <row r="303" spans="1:7" x14ac:dyDescent="0.3">
      <c r="A303" s="11" t="str">
        <f>Data!A301</f>
        <v>NISSAN LEAF 299-1018</v>
      </c>
      <c r="B303" s="11" t="str">
        <f>Data!D301</f>
        <v>Vehicle, Battery Electric Vehicle</v>
      </c>
      <c r="C303" s="12">
        <f>Data!F301</f>
        <v>46087.395447314811</v>
      </c>
      <c r="D303" s="11" t="str">
        <f>Data!G301</f>
        <v>Energía de la batería del vehículo eléctrico</v>
      </c>
      <c r="E303" s="11" t="str">
        <f>Data!J301</f>
        <v>Telematics Device</v>
      </c>
      <c r="F303" s="13">
        <f>Data!L301</f>
        <v>0</v>
      </c>
      <c r="G303" s="11" t="str">
        <f>CONCATENATE(Data!N301," ",Data!P301)</f>
        <v>4977 W</v>
      </c>
    </row>
    <row r="304" spans="1:7" x14ac:dyDescent="0.3">
      <c r="A304" s="11" t="str">
        <f>Data!A302</f>
        <v>NISSAN LEAF 299-1018</v>
      </c>
      <c r="B304" s="11" t="str">
        <f>Data!D302</f>
        <v>Vehicle, Battery Electric Vehicle</v>
      </c>
      <c r="C304" s="12">
        <f>Data!F302</f>
        <v>46087.395482129628</v>
      </c>
      <c r="D304" s="11" t="str">
        <f>Data!G302</f>
        <v>Energía de la batería del vehículo eléctrico</v>
      </c>
      <c r="E304" s="11" t="str">
        <f>Data!J302</f>
        <v>Telematics Device</v>
      </c>
      <c r="F304" s="13">
        <f>Data!L302</f>
        <v>0</v>
      </c>
      <c r="G304" s="11" t="str">
        <f>CONCATENATE(Data!N302," ",Data!P302)</f>
        <v>33192 W</v>
      </c>
    </row>
    <row r="305" spans="1:7" x14ac:dyDescent="0.3">
      <c r="A305" s="11" t="str">
        <f>Data!A303</f>
        <v>NISSAN LEAF 299-1018</v>
      </c>
      <c r="B305" s="11" t="str">
        <f>Data!D303</f>
        <v>Vehicle, Battery Electric Vehicle</v>
      </c>
      <c r="C305" s="12">
        <f>Data!F303</f>
        <v>46087.395564050923</v>
      </c>
      <c r="D305" s="11" t="str">
        <f>Data!G303</f>
        <v>Estado de carga genérico</v>
      </c>
      <c r="E305" s="11" t="str">
        <f>Data!J303</f>
        <v>Telematics Device</v>
      </c>
      <c r="F305" s="13">
        <f>Data!L303</f>
        <v>0</v>
      </c>
      <c r="G305" s="11" t="str">
        <f>CONCATENATE(Data!N303," ",Data!P303)</f>
        <v>63.535 %</v>
      </c>
    </row>
    <row r="306" spans="1:7" x14ac:dyDescent="0.3">
      <c r="A306" s="11" t="str">
        <f>Data!A304</f>
        <v>NISSAN LEAF 299-1018</v>
      </c>
      <c r="B306" s="11" t="str">
        <f>Data!D304</f>
        <v>Vehicle, Battery Electric Vehicle</v>
      </c>
      <c r="C306" s="12">
        <f>Data!F304</f>
        <v>46087.395853726855</v>
      </c>
      <c r="D306" s="11" t="str">
        <f>Data!G304</f>
        <v>Energía de la batería del vehículo eléctrico</v>
      </c>
      <c r="E306" s="11" t="str">
        <f>Data!J304</f>
        <v>Telematics Device</v>
      </c>
      <c r="F306" s="13">
        <f>Data!L304</f>
        <v>0</v>
      </c>
      <c r="G306" s="11" t="str">
        <f>CONCATENATE(Data!N304," ",Data!P304)</f>
        <v>-3764 W</v>
      </c>
    </row>
    <row r="307" spans="1:7" x14ac:dyDescent="0.3">
      <c r="A307" s="11" t="str">
        <f>Data!A305</f>
        <v>NISSAN LEAF 299-1018</v>
      </c>
      <c r="B307" s="11" t="str">
        <f>Data!D305</f>
        <v>Vehicle, Battery Electric Vehicle</v>
      </c>
      <c r="C307" s="12">
        <f>Data!F305</f>
        <v>46087.395935196757</v>
      </c>
      <c r="D307" s="11" t="str">
        <f>Data!G305</f>
        <v>Energía de la batería del vehículo eléctrico</v>
      </c>
      <c r="E307" s="11" t="str">
        <f>Data!J305</f>
        <v>Telematics Device</v>
      </c>
      <c r="F307" s="13">
        <f>Data!L305</f>
        <v>0</v>
      </c>
      <c r="G307" s="11" t="str">
        <f>CONCATENATE(Data!N305," ",Data!P305)</f>
        <v>25133 W</v>
      </c>
    </row>
    <row r="308" spans="1:7" x14ac:dyDescent="0.3">
      <c r="A308" s="11" t="str">
        <f>Data!A306</f>
        <v>NISSAN LEAF 299-1018</v>
      </c>
      <c r="B308" s="11" t="str">
        <f>Data!D306</f>
        <v>Vehicle, Battery Electric Vehicle</v>
      </c>
      <c r="C308" s="12">
        <f>Data!F306</f>
        <v>46087.396132997688</v>
      </c>
      <c r="D308" s="11" t="str">
        <f>Data!G306</f>
        <v>Energía de la batería del vehículo eléctrico</v>
      </c>
      <c r="E308" s="11" t="str">
        <f>Data!J306</f>
        <v>Telematics Device</v>
      </c>
      <c r="F308" s="13">
        <f>Data!L306</f>
        <v>0</v>
      </c>
      <c r="G308" s="11" t="str">
        <f>CONCATENATE(Data!N306," ",Data!P306)</f>
        <v>-19126 W</v>
      </c>
    </row>
    <row r="309" spans="1:7" x14ac:dyDescent="0.3">
      <c r="A309" s="11" t="str">
        <f>Data!A307</f>
        <v>NISSAN LEAF 299-1018</v>
      </c>
      <c r="B309" s="11" t="str">
        <f>Data!D307</f>
        <v>Vehicle, Battery Electric Vehicle</v>
      </c>
      <c r="C309" s="12">
        <f>Data!F307</f>
        <v>46087.39624923611</v>
      </c>
      <c r="D309" s="11" t="str">
        <f>Data!G307</f>
        <v>Energía de la batería del vehículo eléctrico</v>
      </c>
      <c r="E309" s="11" t="str">
        <f>Data!J307</f>
        <v>Telematics Device</v>
      </c>
      <c r="F309" s="13">
        <f>Data!L307</f>
        <v>0</v>
      </c>
      <c r="G309" s="11" t="str">
        <f>CONCATENATE(Data!N307," ",Data!P307)</f>
        <v>26662 W</v>
      </c>
    </row>
    <row r="310" spans="1:7" x14ac:dyDescent="0.3">
      <c r="A310" s="11" t="str">
        <f>Data!A308</f>
        <v>NISSAN LEAF 299-1018</v>
      </c>
      <c r="B310" s="11" t="str">
        <f>Data!D308</f>
        <v>Vehicle, Battery Electric Vehicle</v>
      </c>
      <c r="C310" s="12">
        <f>Data!F308</f>
        <v>46087.396319085645</v>
      </c>
      <c r="D310" s="11" t="str">
        <f>Data!G308</f>
        <v>Energía de la batería del vehículo eléctrico</v>
      </c>
      <c r="E310" s="11" t="str">
        <f>Data!J308</f>
        <v>Telematics Device</v>
      </c>
      <c r="F310" s="13">
        <f>Data!L308</f>
        <v>0</v>
      </c>
      <c r="G310" s="11" t="str">
        <f>CONCATENATE(Data!N308," ",Data!P308)</f>
        <v>-4111 W</v>
      </c>
    </row>
    <row r="311" spans="1:7" x14ac:dyDescent="0.3">
      <c r="A311" s="11" t="str">
        <f>Data!A309</f>
        <v>NISSAN LEAF 299-1018</v>
      </c>
      <c r="B311" s="11" t="str">
        <f>Data!D309</f>
        <v>Vehicle, Battery Electric Vehicle</v>
      </c>
      <c r="C311" s="12">
        <f>Data!F309</f>
        <v>46087.396377314813</v>
      </c>
      <c r="D311" s="11" t="str">
        <f>Data!G309</f>
        <v>Energía de la batería del vehículo eléctrico</v>
      </c>
      <c r="E311" s="11" t="str">
        <f>Data!J309</f>
        <v>Telematics Device</v>
      </c>
      <c r="F311" s="13">
        <f>Data!L309</f>
        <v>0</v>
      </c>
      <c r="G311" s="11" t="str">
        <f>CONCATENATE(Data!N309," ",Data!P309)</f>
        <v>27056 W</v>
      </c>
    </row>
    <row r="312" spans="1:7" x14ac:dyDescent="0.3">
      <c r="A312" s="11" t="str">
        <f>Data!A310</f>
        <v>NISSAN LEAF 299-1018</v>
      </c>
      <c r="B312" s="11" t="str">
        <f>Data!D310</f>
        <v>Vehicle, Battery Electric Vehicle</v>
      </c>
      <c r="C312" s="12">
        <f>Data!F310</f>
        <v>46087.396481840275</v>
      </c>
      <c r="D312" s="11" t="str">
        <f>Data!G310</f>
        <v>Energía de la batería del vehículo eléctrico</v>
      </c>
      <c r="E312" s="11" t="str">
        <f>Data!J310</f>
        <v>Telematics Device</v>
      </c>
      <c r="F312" s="13">
        <f>Data!L310</f>
        <v>0</v>
      </c>
      <c r="G312" s="11" t="str">
        <f>CONCATENATE(Data!N310," ",Data!P310)</f>
        <v>-3026 W</v>
      </c>
    </row>
    <row r="313" spans="1:7" x14ac:dyDescent="0.3">
      <c r="A313" s="11" t="str">
        <f>Data!A311</f>
        <v>NISSAN LEAF 299-1018</v>
      </c>
      <c r="B313" s="11" t="str">
        <f>Data!D311</f>
        <v>Vehicle, Battery Electric Vehicle</v>
      </c>
      <c r="C313" s="12">
        <f>Data!F311</f>
        <v>46087.396866365743</v>
      </c>
      <c r="D313" s="11" t="str">
        <f>Data!G311</f>
        <v>Energía de la batería del vehículo eléctrico</v>
      </c>
      <c r="E313" s="11" t="str">
        <f>Data!J311</f>
        <v>Telematics Device</v>
      </c>
      <c r="F313" s="13">
        <f>Data!L311</f>
        <v>0</v>
      </c>
      <c r="G313" s="11" t="str">
        <f>CONCATENATE(Data!N311," ",Data!P311)</f>
        <v>-6990 W</v>
      </c>
    </row>
    <row r="314" spans="1:7" x14ac:dyDescent="0.3">
      <c r="A314" s="11" t="str">
        <f>Data!A312</f>
        <v>NISSAN LEAF 299-1018</v>
      </c>
      <c r="B314" s="11" t="str">
        <f>Data!D312</f>
        <v>Vehicle, Battery Electric Vehicle</v>
      </c>
      <c r="C314" s="12">
        <f>Data!F312</f>
        <v>46087.396994270835</v>
      </c>
      <c r="D314" s="11" t="str">
        <f>Data!G312</f>
        <v>Energía de la batería del vehículo eléctrico</v>
      </c>
      <c r="E314" s="11" t="str">
        <f>Data!J312</f>
        <v>Telematics Device</v>
      </c>
      <c r="F314" s="13">
        <f>Data!L312</f>
        <v>0</v>
      </c>
      <c r="G314" s="11" t="str">
        <f>CONCATENATE(Data!N312," ",Data!P312)</f>
        <v>29820 W</v>
      </c>
    </row>
    <row r="315" spans="1:7" x14ac:dyDescent="0.3">
      <c r="A315" s="11" t="str">
        <f>Data!A313</f>
        <v>NISSAN LEAF 299-1018</v>
      </c>
      <c r="B315" s="11" t="str">
        <f>Data!D313</f>
        <v>Vehicle, Battery Electric Vehicle</v>
      </c>
      <c r="C315" s="12">
        <f>Data!F313</f>
        <v>46087.397156979168</v>
      </c>
      <c r="D315" s="11" t="str">
        <f>Data!G313</f>
        <v>Energía de la batería del vehículo eléctrico</v>
      </c>
      <c r="E315" s="11" t="str">
        <f>Data!J313</f>
        <v>Telematics Device</v>
      </c>
      <c r="F315" s="13">
        <f>Data!L313</f>
        <v>0</v>
      </c>
      <c r="G315" s="11" t="str">
        <f>CONCATENATE(Data!N313," ",Data!P313)</f>
        <v>3575 W</v>
      </c>
    </row>
    <row r="316" spans="1:7" x14ac:dyDescent="0.3">
      <c r="A316" s="11" t="str">
        <f>Data!A314</f>
        <v>NISSAN LEAF 299-1018</v>
      </c>
      <c r="B316" s="11" t="str">
        <f>Data!D314</f>
        <v>Vehicle, Battery Electric Vehicle</v>
      </c>
      <c r="C316" s="12">
        <f>Data!F314</f>
        <v>46087.397188634262</v>
      </c>
      <c r="D316" s="11" t="str">
        <f>Data!G314</f>
        <v>Estado de carga genérico</v>
      </c>
      <c r="E316" s="11" t="str">
        <f>Data!J314</f>
        <v>Telematics Device</v>
      </c>
      <c r="F316" s="13">
        <f>Data!L314</f>
        <v>0</v>
      </c>
      <c r="G316" s="11" t="str">
        <f>CONCATENATE(Data!N314," ",Data!P314)</f>
        <v>62.44 %</v>
      </c>
    </row>
    <row r="317" spans="1:7" x14ac:dyDescent="0.3">
      <c r="A317" s="11" t="str">
        <f>Data!A315</f>
        <v>NISSAN LEAF 299-1018</v>
      </c>
      <c r="B317" s="11" t="str">
        <f>Data!D315</f>
        <v>Vehicle, Battery Electric Vehicle</v>
      </c>
      <c r="C317" s="12">
        <f>Data!F315</f>
        <v>46087.398307835647</v>
      </c>
      <c r="D317" s="11" t="str">
        <f>Data!G315</f>
        <v>Energía de la batería del vehículo eléctrico</v>
      </c>
      <c r="E317" s="11" t="str">
        <f>Data!J315</f>
        <v>Telematics Device</v>
      </c>
      <c r="F317" s="13">
        <f>Data!L315</f>
        <v>0</v>
      </c>
      <c r="G317" s="11" t="str">
        <f>CONCATENATE(Data!N315," ",Data!P315)</f>
        <v>24214 W</v>
      </c>
    </row>
    <row r="318" spans="1:7" x14ac:dyDescent="0.3">
      <c r="A318" s="11" t="str">
        <f>Data!A316</f>
        <v>NISSAN LEAF 299-1018</v>
      </c>
      <c r="B318" s="11" t="str">
        <f>Data!D316</f>
        <v>Vehicle, Battery Electric Vehicle</v>
      </c>
      <c r="C318" s="12">
        <f>Data!F316</f>
        <v>46087.398346307869</v>
      </c>
      <c r="D318" s="11" t="str">
        <f>Data!G316</f>
        <v>Estado de carga genérico</v>
      </c>
      <c r="E318" s="11" t="str">
        <f>Data!J316</f>
        <v>Telematics Device</v>
      </c>
      <c r="F318" s="13">
        <f>Data!L316</f>
        <v>0</v>
      </c>
      <c r="G318" s="11" t="str">
        <f>CONCATENATE(Data!N316," ",Data!P316)</f>
        <v>61.22 %</v>
      </c>
    </row>
    <row r="319" spans="1:7" x14ac:dyDescent="0.3">
      <c r="A319" s="11" t="str">
        <f>Data!A317</f>
        <v>NISSAN LEAF 299-1018</v>
      </c>
      <c r="B319" s="11" t="str">
        <f>Data!D317</f>
        <v>Vehicle, Battery Electric Vehicle</v>
      </c>
      <c r="C319" s="12">
        <f>Data!F317</f>
        <v>46087.398400972219</v>
      </c>
      <c r="D319" s="11" t="str">
        <f>Data!G317</f>
        <v>Energía de la batería del vehículo eléctrico</v>
      </c>
      <c r="E319" s="11" t="str">
        <f>Data!J317</f>
        <v>Telematics Device</v>
      </c>
      <c r="F319" s="13">
        <f>Data!L317</f>
        <v>0</v>
      </c>
      <c r="G319" s="11" t="str">
        <f>CONCATENATE(Data!N317," ",Data!P317)</f>
        <v>-13725 W</v>
      </c>
    </row>
    <row r="320" spans="1:7" x14ac:dyDescent="0.3">
      <c r="A320" s="11" t="str">
        <f>Data!A318</f>
        <v>NISSAN LEAF 299-1018</v>
      </c>
      <c r="B320" s="11" t="str">
        <f>Data!D318</f>
        <v>Vehicle, Battery Electric Vehicle</v>
      </c>
      <c r="C320" s="12">
        <f>Data!F318</f>
        <v>46087.398598541666</v>
      </c>
      <c r="D320" s="11" t="str">
        <f>Data!G318</f>
        <v>Energía de la batería del vehículo eléctrico</v>
      </c>
      <c r="E320" s="11" t="str">
        <f>Data!J318</f>
        <v>Telematics Device</v>
      </c>
      <c r="F320" s="13">
        <f>Data!L318</f>
        <v>0</v>
      </c>
      <c r="G320" s="11" t="str">
        <f>CONCATENATE(Data!N318," ",Data!P318)</f>
        <v>18611 W</v>
      </c>
    </row>
    <row r="321" spans="1:7" x14ac:dyDescent="0.3">
      <c r="A321" s="11" t="str">
        <f>Data!A319</f>
        <v>NISSAN LEAF 299-1018</v>
      </c>
      <c r="B321" s="11" t="str">
        <f>Data!D319</f>
        <v>Vehicle, Battery Electric Vehicle</v>
      </c>
      <c r="C321" s="12">
        <f>Data!F319</f>
        <v>46087.398993738425</v>
      </c>
      <c r="D321" s="11" t="str">
        <f>Data!G319</f>
        <v>Energía de la batería del vehículo eléctrico</v>
      </c>
      <c r="E321" s="11" t="str">
        <f>Data!J319</f>
        <v>Telematics Device</v>
      </c>
      <c r="F321" s="13">
        <f>Data!L319</f>
        <v>0</v>
      </c>
      <c r="G321" s="11" t="str">
        <f>CONCATENATE(Data!N319," ",Data!P319)</f>
        <v>-12121 W</v>
      </c>
    </row>
    <row r="322" spans="1:7" x14ac:dyDescent="0.3">
      <c r="A322" s="11" t="str">
        <f>Data!A320</f>
        <v>NISSAN LEAF 299-1018</v>
      </c>
      <c r="B322" s="11" t="str">
        <f>Data!D320</f>
        <v>Vehicle, Battery Electric Vehicle</v>
      </c>
      <c r="C322" s="12">
        <f>Data!F320</f>
        <v>46087.399052233799</v>
      </c>
      <c r="D322" s="11" t="str">
        <f>Data!G320</f>
        <v>Energía de la batería del vehículo eléctrico</v>
      </c>
      <c r="E322" s="11" t="str">
        <f>Data!J320</f>
        <v>Telematics Device</v>
      </c>
      <c r="F322" s="13">
        <f>Data!L320</f>
        <v>0</v>
      </c>
      <c r="G322" s="11" t="str">
        <f>CONCATENATE(Data!N320," ",Data!P320)</f>
        <v>20263 W</v>
      </c>
    </row>
    <row r="323" spans="1:7" x14ac:dyDescent="0.3">
      <c r="A323" s="11" t="str">
        <f>Data!A321</f>
        <v>NISSAN LEAF 299-1018</v>
      </c>
      <c r="B323" s="11" t="str">
        <f>Data!D321</f>
        <v>Vehicle, Battery Electric Vehicle</v>
      </c>
      <c r="C323" s="12">
        <f>Data!F321</f>
        <v>46087.399273090276</v>
      </c>
      <c r="D323" s="11" t="str">
        <f>Data!G321</f>
        <v>Energía de la batería del vehículo eléctrico</v>
      </c>
      <c r="E323" s="11" t="str">
        <f>Data!J321</f>
        <v>Telematics Device</v>
      </c>
      <c r="F323" s="13">
        <f>Data!L321</f>
        <v>0</v>
      </c>
      <c r="G323" s="11" t="str">
        <f>CONCATENATE(Data!N321," ",Data!P321)</f>
        <v>-5355 W</v>
      </c>
    </row>
    <row r="324" spans="1:7" x14ac:dyDescent="0.3">
      <c r="A324" s="11" t="str">
        <f>Data!A322</f>
        <v>NISSAN LEAF 299-1018</v>
      </c>
      <c r="B324" s="11" t="str">
        <f>Data!D322</f>
        <v>Vehicle, Battery Electric Vehicle</v>
      </c>
      <c r="C324" s="12">
        <f>Data!F322</f>
        <v>46087.399319618053</v>
      </c>
      <c r="D324" s="11" t="str">
        <f>Data!G322</f>
        <v>Energía de la batería del vehículo eléctrico</v>
      </c>
      <c r="E324" s="11" t="str">
        <f>Data!J322</f>
        <v>Telematics Device</v>
      </c>
      <c r="F324" s="13">
        <f>Data!L322</f>
        <v>0</v>
      </c>
      <c r="G324" s="11" t="str">
        <f>CONCATENATE(Data!N322," ",Data!P322)</f>
        <v>23496 W</v>
      </c>
    </row>
    <row r="325" spans="1:7" x14ac:dyDescent="0.3">
      <c r="A325" s="11" t="str">
        <f>Data!A323</f>
        <v>NISSAN LEAF 299-1018</v>
      </c>
      <c r="B325" s="11" t="str">
        <f>Data!D323</f>
        <v>Vehicle, Battery Electric Vehicle</v>
      </c>
      <c r="C325" s="12">
        <f>Data!F323</f>
        <v>46087.399738368054</v>
      </c>
      <c r="D325" s="11" t="str">
        <f>Data!G323</f>
        <v>Estado de carga genérico</v>
      </c>
      <c r="E325" s="11" t="str">
        <f>Data!J323</f>
        <v>Telematics Device</v>
      </c>
      <c r="F325" s="13">
        <f>Data!L323</f>
        <v>0</v>
      </c>
      <c r="G325" s="11" t="str">
        <f>CONCATENATE(Data!N323," ",Data!P323)</f>
        <v>60.12 %</v>
      </c>
    </row>
    <row r="326" spans="1:7" x14ac:dyDescent="0.3">
      <c r="A326" s="11" t="str">
        <f>Data!A324</f>
        <v>NISSAN LEAF 299-1018</v>
      </c>
      <c r="B326" s="11" t="str">
        <f>Data!D324</f>
        <v>Vehicle, Battery Electric Vehicle</v>
      </c>
      <c r="C326" s="12">
        <f>Data!F324</f>
        <v>46087.399842118059</v>
      </c>
      <c r="D326" s="11" t="str">
        <f>Data!G324</f>
        <v>Energía de la batería del vehículo eléctrico</v>
      </c>
      <c r="E326" s="11" t="str">
        <f>Data!J324</f>
        <v>Telematics Device</v>
      </c>
      <c r="F326" s="13">
        <f>Data!L324</f>
        <v>0</v>
      </c>
      <c r="G326" s="11" t="str">
        <f>CONCATENATE(Data!N324," ",Data!P324)</f>
        <v>38857 W</v>
      </c>
    </row>
    <row r="327" spans="1:7" x14ac:dyDescent="0.3">
      <c r="A327" s="11" t="str">
        <f>Data!A325</f>
        <v>NISSAN LEAF 299-1018</v>
      </c>
      <c r="B327" s="11" t="str">
        <f>Data!D325</f>
        <v>Vehicle, Battery Electric Vehicle</v>
      </c>
      <c r="C327" s="12">
        <f>Data!F325</f>
        <v>46087.399923506942</v>
      </c>
      <c r="D327" s="11" t="str">
        <f>Data!G325</f>
        <v>Energía de la batería del vehículo eléctrico</v>
      </c>
      <c r="E327" s="11" t="str">
        <f>Data!J325</f>
        <v>Telematics Device</v>
      </c>
      <c r="F327" s="13">
        <f>Data!L325</f>
        <v>0</v>
      </c>
      <c r="G327" s="11" t="str">
        <f>CONCATENATE(Data!N325," ",Data!P325)</f>
        <v>-3353 W</v>
      </c>
    </row>
    <row r="328" spans="1:7" x14ac:dyDescent="0.3">
      <c r="A328" s="11" t="str">
        <f>Data!A326</f>
        <v>NISSAN LEAF 299-1018</v>
      </c>
      <c r="B328" s="11" t="str">
        <f>Data!D326</f>
        <v>Vehicle, Battery Electric Vehicle</v>
      </c>
      <c r="C328" s="12">
        <f>Data!F326</f>
        <v>46087.400120891201</v>
      </c>
      <c r="D328" s="11" t="str">
        <f>Data!G326</f>
        <v>Energía de la batería del vehículo eléctrico</v>
      </c>
      <c r="E328" s="11" t="str">
        <f>Data!J326</f>
        <v>Telematics Device</v>
      </c>
      <c r="F328" s="13">
        <f>Data!L326</f>
        <v>0</v>
      </c>
      <c r="G328" s="11" t="str">
        <f>CONCATENATE(Data!N326," ",Data!P326)</f>
        <v>35350 W</v>
      </c>
    </row>
    <row r="329" spans="1:7" x14ac:dyDescent="0.3">
      <c r="A329" s="11" t="str">
        <f>Data!A327</f>
        <v>NISSAN LEAF 299-1018</v>
      </c>
      <c r="B329" s="11" t="str">
        <f>Data!D327</f>
        <v>Vehicle, Battery Electric Vehicle</v>
      </c>
      <c r="C329" s="12">
        <f>Data!F327</f>
        <v>46087.400411145834</v>
      </c>
      <c r="D329" s="11" t="str">
        <f>Data!G327</f>
        <v>Voltaje de la batería de alta tensión</v>
      </c>
      <c r="E329" s="11" t="str">
        <f>Data!J327</f>
        <v>Telematics Device</v>
      </c>
      <c r="F329" s="13">
        <f>Data!L327</f>
        <v>0</v>
      </c>
      <c r="G329" s="11" t="str">
        <f>CONCATENATE(Data!N327," ",Data!P327)</f>
        <v>347.5 V</v>
      </c>
    </row>
    <row r="330" spans="1:7" x14ac:dyDescent="0.3">
      <c r="A330" s="11" t="str">
        <f>Data!A328</f>
        <v>NISSAN LEAF 299-1018</v>
      </c>
      <c r="B330" s="11" t="str">
        <f>Data!D328</f>
        <v>Vehicle, Battery Electric Vehicle</v>
      </c>
      <c r="C330" s="12">
        <f>Data!F328</f>
        <v>46087.400435740739</v>
      </c>
      <c r="D330" s="11" t="str">
        <f>Data!G328</f>
        <v>Estado de carga genérico</v>
      </c>
      <c r="E330" s="11" t="str">
        <f>Data!J328</f>
        <v>Telematics Device</v>
      </c>
      <c r="F330" s="13">
        <f>Data!L328</f>
        <v>0</v>
      </c>
      <c r="G330" s="11" t="str">
        <f>CONCATENATE(Data!N328," ",Data!P328)</f>
        <v>58.66 %</v>
      </c>
    </row>
    <row r="331" spans="1:7" x14ac:dyDescent="0.3">
      <c r="A331" s="11" t="str">
        <f>Data!A329</f>
        <v>NISSAN LEAF 299-1018</v>
      </c>
      <c r="B331" s="11" t="str">
        <f>Data!D329</f>
        <v>Vehicle, Battery Electric Vehicle</v>
      </c>
      <c r="C331" s="12">
        <f>Data!F329</f>
        <v>46087.400527928243</v>
      </c>
      <c r="D331" s="11" t="str">
        <f>Data!G329</f>
        <v>Energía de la batería del vehículo eléctrico</v>
      </c>
      <c r="E331" s="11" t="str">
        <f>Data!J329</f>
        <v>Telematics Device</v>
      </c>
      <c r="F331" s="13">
        <f>Data!L329</f>
        <v>0</v>
      </c>
      <c r="G331" s="11" t="str">
        <f>CONCATENATE(Data!N329," ",Data!P329)</f>
        <v>35050 W</v>
      </c>
    </row>
    <row r="332" spans="1:7" x14ac:dyDescent="0.3">
      <c r="A332" s="11" t="str">
        <f>Data!A330</f>
        <v>NISSAN LEAF 299-1018</v>
      </c>
      <c r="B332" s="11" t="str">
        <f>Data!D330</f>
        <v>Vehicle, Battery Electric Vehicle</v>
      </c>
      <c r="C332" s="12">
        <f>Data!F330</f>
        <v>46087.400609722223</v>
      </c>
      <c r="D332" s="11" t="str">
        <f>Data!G330</f>
        <v>Energía de la batería del vehículo eléctrico</v>
      </c>
      <c r="E332" s="11" t="str">
        <f>Data!J330</f>
        <v>Telematics Device</v>
      </c>
      <c r="F332" s="13">
        <f>Data!L330</f>
        <v>0</v>
      </c>
      <c r="G332" s="11" t="str">
        <f>CONCATENATE(Data!N330," ",Data!P330)</f>
        <v>-39648 W</v>
      </c>
    </row>
    <row r="333" spans="1:7" x14ac:dyDescent="0.3">
      <c r="A333" s="11" t="str">
        <f>Data!A331</f>
        <v>NISSAN LEAF 299-1018</v>
      </c>
      <c r="B333" s="11" t="str">
        <f>Data!D331</f>
        <v>Vehicle, Battery Electric Vehicle</v>
      </c>
      <c r="C333" s="12">
        <f>Data!F331</f>
        <v>46087.400632962963</v>
      </c>
      <c r="D333" s="11" t="str">
        <f>Data!G331</f>
        <v>Energía de la batería del vehículo eléctrico</v>
      </c>
      <c r="E333" s="11" t="str">
        <f>Data!J331</f>
        <v>Telematics Device</v>
      </c>
      <c r="F333" s="13">
        <f>Data!L331</f>
        <v>0</v>
      </c>
      <c r="G333" s="11" t="str">
        <f>CONCATENATE(Data!N331," ",Data!P331)</f>
        <v>-11875 W</v>
      </c>
    </row>
    <row r="334" spans="1:7" x14ac:dyDescent="0.3">
      <c r="A334" s="11" t="str">
        <f>Data!A332</f>
        <v>NISSAN LEAF 299-1018</v>
      </c>
      <c r="B334" s="11" t="str">
        <f>Data!D332</f>
        <v>Vehicle, Battery Electric Vehicle</v>
      </c>
      <c r="C334" s="12">
        <f>Data!F332</f>
        <v>46087.40065614583</v>
      </c>
      <c r="D334" s="11" t="str">
        <f>Data!G332</f>
        <v>Energía de la batería del vehículo eléctrico</v>
      </c>
      <c r="E334" s="11" t="str">
        <f>Data!J332</f>
        <v>Telematics Device</v>
      </c>
      <c r="F334" s="13">
        <f>Data!L332</f>
        <v>0</v>
      </c>
      <c r="G334" s="11" t="str">
        <f>CONCATENATE(Data!N332," ",Data!P332)</f>
        <v>-42482 W</v>
      </c>
    </row>
    <row r="335" spans="1:7" x14ac:dyDescent="0.3">
      <c r="A335" s="11" t="str">
        <f>Data!A333</f>
        <v>NISSAN LEAF 299-1018</v>
      </c>
      <c r="B335" s="11" t="str">
        <f>Data!D333</f>
        <v>Vehicle, Battery Electric Vehicle</v>
      </c>
      <c r="C335" s="12">
        <f>Data!F333</f>
        <v>46087.400737615739</v>
      </c>
      <c r="D335" s="11" t="str">
        <f>Data!G333</f>
        <v>Energía de la batería del vehículo eléctrico</v>
      </c>
      <c r="E335" s="11" t="str">
        <f>Data!J333</f>
        <v>Telematics Device</v>
      </c>
      <c r="F335" s="13">
        <f>Data!L333</f>
        <v>0</v>
      </c>
      <c r="G335" s="11" t="str">
        <f>CONCATENATE(Data!N333," ",Data!P333)</f>
        <v>27847 W</v>
      </c>
    </row>
    <row r="336" spans="1:7" x14ac:dyDescent="0.3">
      <c r="A336" s="11" t="str">
        <f>Data!A334</f>
        <v>NISSAN LEAF 299-1018</v>
      </c>
      <c r="B336" s="11" t="str">
        <f>Data!D334</f>
        <v>Vehicle, Battery Electric Vehicle</v>
      </c>
      <c r="C336" s="12">
        <f>Data!F334</f>
        <v>46087.400807430553</v>
      </c>
      <c r="D336" s="11" t="str">
        <f>Data!G334</f>
        <v>Energía de la batería del vehículo eléctrico</v>
      </c>
      <c r="E336" s="11" t="str">
        <f>Data!J334</f>
        <v>Telematics Device</v>
      </c>
      <c r="F336" s="13">
        <f>Data!L334</f>
        <v>0</v>
      </c>
      <c r="G336" s="11" t="str">
        <f>CONCATENATE(Data!N334," ",Data!P334)</f>
        <v>35299 W</v>
      </c>
    </row>
    <row r="337" spans="1:7" x14ac:dyDescent="0.3">
      <c r="A337" s="11" t="str">
        <f>Data!A335</f>
        <v>NISSAN LEAF 299-1018</v>
      </c>
      <c r="B337" s="11" t="str">
        <f>Data!D335</f>
        <v>Vehicle, Battery Electric Vehicle</v>
      </c>
      <c r="C337" s="12">
        <f>Data!F335</f>
        <v>46087.400830578707</v>
      </c>
      <c r="D337" s="11" t="str">
        <f>Data!G335</f>
        <v>Energía de la batería del vehículo eléctrico</v>
      </c>
      <c r="E337" s="11" t="str">
        <f>Data!J335</f>
        <v>Telematics Device</v>
      </c>
      <c r="F337" s="13">
        <f>Data!L335</f>
        <v>0</v>
      </c>
      <c r="G337" s="11" t="str">
        <f>CONCATENATE(Data!N335," ",Data!P335)</f>
        <v>-1226 W</v>
      </c>
    </row>
    <row r="338" spans="1:7" x14ac:dyDescent="0.3">
      <c r="A338" s="11" t="str">
        <f>Data!A336</f>
        <v>NISSAN LEAF 299-1018</v>
      </c>
      <c r="B338" s="11" t="str">
        <f>Data!D336</f>
        <v>Vehicle, Battery Electric Vehicle</v>
      </c>
      <c r="C338" s="12">
        <f>Data!F336</f>
        <v>46087.40084224537</v>
      </c>
      <c r="D338" s="11" t="str">
        <f>Data!G336</f>
        <v>Energía de la batería del vehículo eléctrico</v>
      </c>
      <c r="E338" s="11" t="str">
        <f>Data!J336</f>
        <v>Telematics Device</v>
      </c>
      <c r="F338" s="13">
        <f>Data!L336</f>
        <v>0</v>
      </c>
      <c r="G338" s="11" t="str">
        <f>CONCATENATE(Data!N336," ",Data!P336)</f>
        <v>34466 W</v>
      </c>
    </row>
    <row r="339" spans="1:7" x14ac:dyDescent="0.3">
      <c r="A339" s="11" t="str">
        <f>Data!A337</f>
        <v>NISSAN LEAF 299-1018</v>
      </c>
      <c r="B339" s="11" t="str">
        <f>Data!D337</f>
        <v>Vehicle, Battery Electric Vehicle</v>
      </c>
      <c r="C339" s="12">
        <f>Data!F337</f>
        <v>46087.401121504627</v>
      </c>
      <c r="D339" s="11" t="str">
        <f>Data!G337</f>
        <v>Energía de la batería del vehículo eléctrico</v>
      </c>
      <c r="E339" s="11" t="str">
        <f>Data!J337</f>
        <v>Telematics Device</v>
      </c>
      <c r="F339" s="13">
        <f>Data!L337</f>
        <v>0</v>
      </c>
      <c r="G339" s="11" t="str">
        <f>CONCATENATE(Data!N337," ",Data!P337)</f>
        <v>36955 W</v>
      </c>
    </row>
    <row r="340" spans="1:7" x14ac:dyDescent="0.3">
      <c r="A340" s="11" t="str">
        <f>Data!A338</f>
        <v>NISSAN LEAF 299-1018</v>
      </c>
      <c r="B340" s="11" t="str">
        <f>Data!D338</f>
        <v>Vehicle, Battery Electric Vehicle</v>
      </c>
      <c r="C340" s="12">
        <f>Data!F338</f>
        <v>46087.401133761574</v>
      </c>
      <c r="D340" s="11" t="str">
        <f>Data!G338</f>
        <v>Estado de carga genérico</v>
      </c>
      <c r="E340" s="11" t="str">
        <f>Data!J338</f>
        <v>Telematics Device</v>
      </c>
      <c r="F340" s="13">
        <f>Data!L338</f>
        <v>0</v>
      </c>
      <c r="G340" s="11" t="str">
        <f>CONCATENATE(Data!N338," ",Data!P338)</f>
        <v>57.56 %</v>
      </c>
    </row>
    <row r="341" spans="1:7" x14ac:dyDescent="0.3">
      <c r="A341" s="11" t="str">
        <f>Data!A339</f>
        <v>NISSAN LEAF 299-1018</v>
      </c>
      <c r="B341" s="11" t="str">
        <f>Data!D339</f>
        <v>Vehicle, Battery Electric Vehicle</v>
      </c>
      <c r="C341" s="12">
        <f>Data!F339</f>
        <v>46087.401144745367</v>
      </c>
      <c r="D341" s="11" t="str">
        <f>Data!G339</f>
        <v>Energía de la batería del vehículo eléctrico</v>
      </c>
      <c r="E341" s="11" t="str">
        <f>Data!J339</f>
        <v>Telematics Device</v>
      </c>
      <c r="F341" s="13">
        <f>Data!L339</f>
        <v>0</v>
      </c>
      <c r="G341" s="11" t="str">
        <f>CONCATENATE(Data!N339," ",Data!P339)</f>
        <v>8154 W</v>
      </c>
    </row>
    <row r="342" spans="1:7" x14ac:dyDescent="0.3">
      <c r="A342" s="11" t="str">
        <f>Data!A340</f>
        <v>NISSAN LEAF 299-1018</v>
      </c>
      <c r="B342" s="11" t="str">
        <f>Data!D340</f>
        <v>Vehicle, Battery Electric Vehicle</v>
      </c>
      <c r="C342" s="12">
        <f>Data!F340</f>
        <v>46087.401342233796</v>
      </c>
      <c r="D342" s="11" t="str">
        <f>Data!G340</f>
        <v>Energía de la batería del vehículo eléctrico</v>
      </c>
      <c r="E342" s="11" t="str">
        <f>Data!J340</f>
        <v>Telematics Device</v>
      </c>
      <c r="F342" s="13">
        <f>Data!L340</f>
        <v>0</v>
      </c>
      <c r="G342" s="11" t="str">
        <f>CONCATENATE(Data!N340," ",Data!P340)</f>
        <v>35394 W</v>
      </c>
    </row>
    <row r="343" spans="1:7" x14ac:dyDescent="0.3">
      <c r="A343" s="11" t="str">
        <f>Data!A341</f>
        <v>NISSAN LEAF 299-1018</v>
      </c>
      <c r="B343" s="11" t="str">
        <f>Data!D341</f>
        <v>Vehicle, Battery Electric Vehicle</v>
      </c>
      <c r="C343" s="12">
        <f>Data!F341</f>
        <v>46087.401377314818</v>
      </c>
      <c r="D343" s="11" t="str">
        <f>Data!G341</f>
        <v>Energía de la batería del vehículo eléctrico</v>
      </c>
      <c r="E343" s="11" t="str">
        <f>Data!J341</f>
        <v>Telematics Device</v>
      </c>
      <c r="F343" s="13">
        <f>Data!L341</f>
        <v>0</v>
      </c>
      <c r="G343" s="11" t="str">
        <f>CONCATENATE(Data!N341," ",Data!P341)</f>
        <v>-876 W</v>
      </c>
    </row>
    <row r="344" spans="1:7" x14ac:dyDescent="0.3">
      <c r="A344" s="11" t="str">
        <f>Data!A342</f>
        <v>NISSAN LEAF 299-1018</v>
      </c>
      <c r="B344" s="11" t="str">
        <f>Data!D342</f>
        <v>Vehicle, Battery Electric Vehicle</v>
      </c>
      <c r="C344" s="12">
        <f>Data!F342</f>
        <v>46087.401412303239</v>
      </c>
      <c r="D344" s="11" t="str">
        <f>Data!G342</f>
        <v>Energía de la batería del vehículo eléctrico</v>
      </c>
      <c r="E344" s="11" t="str">
        <f>Data!J342</f>
        <v>Telematics Device</v>
      </c>
      <c r="F344" s="13">
        <f>Data!L342</f>
        <v>0</v>
      </c>
      <c r="G344" s="11" t="str">
        <f>CONCATENATE(Data!N342," ",Data!P342)</f>
        <v>28884 W</v>
      </c>
    </row>
    <row r="345" spans="1:7" x14ac:dyDescent="0.3">
      <c r="A345" s="11" t="str">
        <f>Data!A343</f>
        <v>NISSAN LEAF 299-1018</v>
      </c>
      <c r="B345" s="11" t="str">
        <f>Data!D343</f>
        <v>Vehicle, Battery Electric Vehicle</v>
      </c>
      <c r="C345" s="12">
        <f>Data!F343</f>
        <v>46087.401447025462</v>
      </c>
      <c r="D345" s="11" t="str">
        <f>Data!G343</f>
        <v>Energía de la batería del vehículo eléctrico</v>
      </c>
      <c r="E345" s="11" t="str">
        <f>Data!J343</f>
        <v>Telematics Device</v>
      </c>
      <c r="F345" s="13">
        <f>Data!L343</f>
        <v>0</v>
      </c>
      <c r="G345" s="11" t="str">
        <f>CONCATENATE(Data!N343," ",Data!P343)</f>
        <v>-2443 W</v>
      </c>
    </row>
    <row r="346" spans="1:7" x14ac:dyDescent="0.3">
      <c r="A346" s="11" t="str">
        <f>Data!A344</f>
        <v>NISSAN LEAF 299-1018</v>
      </c>
      <c r="B346" s="11" t="str">
        <f>Data!D344</f>
        <v>Vehicle, Battery Electric Vehicle</v>
      </c>
      <c r="C346" s="12">
        <f>Data!F344</f>
        <v>46087.401750127312</v>
      </c>
      <c r="D346" s="11" t="str">
        <f>Data!G344</f>
        <v>Energía de la batería del vehículo eléctrico</v>
      </c>
      <c r="E346" s="11" t="str">
        <f>Data!J344</f>
        <v>Telematics Device</v>
      </c>
      <c r="F346" s="13">
        <f>Data!L344</f>
        <v>0</v>
      </c>
      <c r="G346" s="11" t="str">
        <f>CONCATENATE(Data!N344," ",Data!P344)</f>
        <v>-11182 W</v>
      </c>
    </row>
    <row r="347" spans="1:7" x14ac:dyDescent="0.3">
      <c r="A347" s="11" t="str">
        <f>Data!A345</f>
        <v>NISSAN LEAF 299-1018</v>
      </c>
      <c r="B347" s="11" t="str">
        <f>Data!D345</f>
        <v>Vehicle, Battery Electric Vehicle</v>
      </c>
      <c r="C347" s="12">
        <f>Data!F345</f>
        <v>46087.401773368052</v>
      </c>
      <c r="D347" s="11" t="str">
        <f>Data!G345</f>
        <v>Energía de la batería del vehículo eléctrico</v>
      </c>
      <c r="E347" s="11" t="str">
        <f>Data!J345</f>
        <v>Telematics Device</v>
      </c>
      <c r="F347" s="13">
        <f>Data!L345</f>
        <v>0</v>
      </c>
      <c r="G347" s="11" t="str">
        <f>CONCATENATE(Data!N345," ",Data!P345)</f>
        <v>-41415 W</v>
      </c>
    </row>
    <row r="348" spans="1:7" x14ac:dyDescent="0.3">
      <c r="A348" s="11" t="str">
        <f>Data!A346</f>
        <v>NISSAN LEAF 299-1018</v>
      </c>
      <c r="B348" s="11" t="str">
        <f>Data!D346</f>
        <v>Vehicle, Battery Electric Vehicle</v>
      </c>
      <c r="C348" s="12">
        <f>Data!F346</f>
        <v>46087.401808263887</v>
      </c>
      <c r="D348" s="11" t="str">
        <f>Data!G346</f>
        <v>Energía de la batería del vehículo eléctrico</v>
      </c>
      <c r="E348" s="11" t="str">
        <f>Data!J346</f>
        <v>Telematics Device</v>
      </c>
      <c r="F348" s="13">
        <f>Data!L346</f>
        <v>0</v>
      </c>
      <c r="G348" s="11" t="str">
        <f>CONCATENATE(Data!N346," ",Data!P346)</f>
        <v>-9473 W</v>
      </c>
    </row>
    <row r="349" spans="1:7" x14ac:dyDescent="0.3">
      <c r="A349" s="11" t="str">
        <f>Data!A347</f>
        <v>NISSAN LEAF 299-1018</v>
      </c>
      <c r="B349" s="11" t="str">
        <f>Data!D347</f>
        <v>Vehicle, Battery Electric Vehicle</v>
      </c>
      <c r="C349" s="12">
        <f>Data!F347</f>
        <v>46087.401970891202</v>
      </c>
      <c r="D349" s="11" t="str">
        <f>Data!G347</f>
        <v>Energía de la batería del vehículo eléctrico</v>
      </c>
      <c r="E349" s="11" t="str">
        <f>Data!J347</f>
        <v>Telematics Device</v>
      </c>
      <c r="F349" s="13">
        <f>Data!L347</f>
        <v>0</v>
      </c>
      <c r="G349" s="11" t="str">
        <f>CONCATENATE(Data!N347," ",Data!P347)</f>
        <v>-27272 W</v>
      </c>
    </row>
    <row r="350" spans="1:7" x14ac:dyDescent="0.3">
      <c r="A350" s="11" t="str">
        <f>Data!A348</f>
        <v>NISSAN LEAF 299-1018</v>
      </c>
      <c r="B350" s="11" t="str">
        <f>Data!D348</f>
        <v>Vehicle, Battery Electric Vehicle</v>
      </c>
      <c r="C350" s="12">
        <f>Data!F348</f>
        <v>46087.402075509257</v>
      </c>
      <c r="D350" s="11" t="str">
        <f>Data!G348</f>
        <v>Energía de la batería del vehículo eléctrico</v>
      </c>
      <c r="E350" s="11" t="str">
        <f>Data!J348</f>
        <v>Telematics Device</v>
      </c>
      <c r="F350" s="13">
        <f>Data!L348</f>
        <v>0</v>
      </c>
      <c r="G350" s="11" t="str">
        <f>CONCATENATE(Data!N348," ",Data!P348)</f>
        <v>29163 W</v>
      </c>
    </row>
    <row r="351" spans="1:7" x14ac:dyDescent="0.3">
      <c r="A351" s="11" t="str">
        <f>Data!A349</f>
        <v>NISSAN LEAF 299-1018</v>
      </c>
      <c r="B351" s="11" t="str">
        <f>Data!D349</f>
        <v>Vehicle, Battery Electric Vehicle</v>
      </c>
      <c r="C351" s="12">
        <f>Data!F349</f>
        <v>46087.402168425928</v>
      </c>
      <c r="D351" s="11" t="str">
        <f>Data!G349</f>
        <v>Energía de la batería del vehículo eléctrico</v>
      </c>
      <c r="E351" s="11" t="str">
        <f>Data!J349</f>
        <v>Telematics Device</v>
      </c>
      <c r="F351" s="13">
        <f>Data!L349</f>
        <v>0</v>
      </c>
      <c r="G351" s="11" t="str">
        <f>CONCATENATE(Data!N349," ",Data!P349)</f>
        <v>-28262 W</v>
      </c>
    </row>
    <row r="352" spans="1:7" x14ac:dyDescent="0.3">
      <c r="A352" s="11" t="str">
        <f>Data!A350</f>
        <v>NISSAN LEAF 299-1018</v>
      </c>
      <c r="B352" s="11" t="str">
        <f>Data!D350</f>
        <v>Vehicle, Battery Electric Vehicle</v>
      </c>
      <c r="C352" s="12">
        <f>Data!F350</f>
        <v>46087.402191747686</v>
      </c>
      <c r="D352" s="11" t="str">
        <f>Data!G350</f>
        <v>Energía de la batería del vehículo eléctrico</v>
      </c>
      <c r="E352" s="11" t="str">
        <f>Data!J350</f>
        <v>Telematics Device</v>
      </c>
      <c r="F352" s="13">
        <f>Data!L350</f>
        <v>0</v>
      </c>
      <c r="G352" s="11" t="str">
        <f>CONCATENATE(Data!N350," ",Data!P350)</f>
        <v>-4984 W</v>
      </c>
    </row>
    <row r="353" spans="1:7" x14ac:dyDescent="0.3">
      <c r="A353" s="11" t="str">
        <f>Data!A351</f>
        <v>NISSAN LEAF 299-1018</v>
      </c>
      <c r="B353" s="11" t="str">
        <f>Data!D351</f>
        <v>Vehicle, Battery Electric Vehicle</v>
      </c>
      <c r="C353" s="12">
        <f>Data!F351</f>
        <v>46087.402214942129</v>
      </c>
      <c r="D353" s="11" t="str">
        <f>Data!G351</f>
        <v>Energía de la batería del vehículo eléctrico</v>
      </c>
      <c r="E353" s="11" t="str">
        <f>Data!J351</f>
        <v>Telematics Device</v>
      </c>
      <c r="F353" s="13">
        <f>Data!L351</f>
        <v>0</v>
      </c>
      <c r="G353" s="11" t="str">
        <f>CONCATENATE(Data!N351," ",Data!P351)</f>
        <v>-44460 W</v>
      </c>
    </row>
    <row r="354" spans="1:7" x14ac:dyDescent="0.3">
      <c r="A354" s="11" t="str">
        <f>Data!A352</f>
        <v>NISSAN LEAF 299-1018</v>
      </c>
      <c r="B354" s="11" t="str">
        <f>Data!D352</f>
        <v>Vehicle, Battery Electric Vehicle</v>
      </c>
      <c r="C354" s="12">
        <f>Data!F352</f>
        <v>46087.402296192129</v>
      </c>
      <c r="D354" s="11" t="str">
        <f>Data!G352</f>
        <v>Energía de la batería del vehículo eléctrico</v>
      </c>
      <c r="E354" s="11" t="str">
        <f>Data!J352</f>
        <v>Telematics Device</v>
      </c>
      <c r="F354" s="13">
        <f>Data!L352</f>
        <v>0</v>
      </c>
      <c r="G354" s="11" t="str">
        <f>CONCATENATE(Data!N352," ",Data!P352)</f>
        <v>9230 W</v>
      </c>
    </row>
    <row r="355" spans="1:7" x14ac:dyDescent="0.3">
      <c r="A355" s="11" t="str">
        <f>Data!A353</f>
        <v>NISSAN LEAF 299-1018</v>
      </c>
      <c r="B355" s="11" t="str">
        <f>Data!D353</f>
        <v>Vehicle, Battery Electric Vehicle</v>
      </c>
      <c r="C355" s="12">
        <f>Data!F353</f>
        <v>46087.402412384261</v>
      </c>
      <c r="D355" s="11" t="str">
        <f>Data!G353</f>
        <v>Energía de la batería del vehículo eléctrico</v>
      </c>
      <c r="E355" s="11" t="str">
        <f>Data!J353</f>
        <v>Telematics Device</v>
      </c>
      <c r="F355" s="13">
        <f>Data!L353</f>
        <v>0</v>
      </c>
      <c r="G355" s="11" t="str">
        <f>CONCATENATE(Data!N353," ",Data!P353)</f>
        <v>-17978 W</v>
      </c>
    </row>
    <row r="356" spans="1:7" x14ac:dyDescent="0.3">
      <c r="A356" s="11" t="str">
        <f>Data!A354</f>
        <v>NISSAN LEAF 299-1018</v>
      </c>
      <c r="B356" s="11" t="str">
        <f>Data!D354</f>
        <v>Vehicle, Battery Electric Vehicle</v>
      </c>
      <c r="C356" s="12">
        <f>Data!F354</f>
        <v>46087.402458773147</v>
      </c>
      <c r="D356" s="11" t="str">
        <f>Data!G354</f>
        <v>Energía de la batería del vehículo eléctrico</v>
      </c>
      <c r="E356" s="11" t="str">
        <f>Data!J354</f>
        <v>Telematics Device</v>
      </c>
      <c r="F356" s="13">
        <f>Data!L354</f>
        <v>0</v>
      </c>
      <c r="G356" s="11" t="str">
        <f>CONCATENATE(Data!N354," ",Data!P354)</f>
        <v>14002 W</v>
      </c>
    </row>
    <row r="357" spans="1:7" x14ac:dyDescent="0.3">
      <c r="A357" s="11" t="str">
        <f>Data!A355</f>
        <v>NISSAN LEAF 299-1018</v>
      </c>
      <c r="B357" s="11" t="str">
        <f>Data!D355</f>
        <v>Vehicle, Battery Electric Vehicle</v>
      </c>
      <c r="C357" s="12">
        <f>Data!F355</f>
        <v>46087.402621527879</v>
      </c>
      <c r="D357" s="11" t="str">
        <f>Data!G355</f>
        <v>Energía de la batería del vehículo eléctrico</v>
      </c>
      <c r="E357" s="11" t="str">
        <f>Data!J355</f>
        <v>Telematics Device</v>
      </c>
      <c r="F357" s="13">
        <f>Data!L355</f>
        <v>0</v>
      </c>
      <c r="G357" s="11" t="str">
        <f>CONCATENATE(Data!N355," ",Data!P355)</f>
        <v>-22134 W</v>
      </c>
    </row>
    <row r="358" spans="1:7" x14ac:dyDescent="0.3">
      <c r="A358" s="11" t="str">
        <f>Data!A356</f>
        <v>NISSAN LEAF 299-1018</v>
      </c>
      <c r="B358" s="11" t="str">
        <f>Data!D356</f>
        <v>Vehicle, Battery Electric Vehicle</v>
      </c>
      <c r="C358" s="12">
        <f>Data!F356</f>
        <v>46087.403144618052</v>
      </c>
      <c r="D358" s="11" t="str">
        <f>Data!G356</f>
        <v>Energía de la batería del vehículo eléctrico</v>
      </c>
      <c r="E358" s="11" t="str">
        <f>Data!J356</f>
        <v>Telematics Device</v>
      </c>
      <c r="F358" s="13">
        <f>Data!L356</f>
        <v>0</v>
      </c>
      <c r="G358" s="11" t="str">
        <f>CONCATENATE(Data!N356," ",Data!P356)</f>
        <v>15975 W</v>
      </c>
    </row>
    <row r="359" spans="1:7" x14ac:dyDescent="0.3">
      <c r="A359" s="11" t="str">
        <f>Data!A357</f>
        <v>NISSAN LEAF 299-1018</v>
      </c>
      <c r="B359" s="11" t="str">
        <f>Data!D357</f>
        <v>Vehicle, Battery Electric Vehicle</v>
      </c>
      <c r="C359" s="12">
        <f>Data!F357</f>
        <v>46087.40336556713</v>
      </c>
      <c r="D359" s="11" t="str">
        <f>Data!G357</f>
        <v>Energía de la batería del vehículo eléctrico</v>
      </c>
      <c r="E359" s="11" t="str">
        <f>Data!J357</f>
        <v>Telematics Device</v>
      </c>
      <c r="F359" s="13">
        <f>Data!L357</f>
        <v>0</v>
      </c>
      <c r="G359" s="11" t="str">
        <f>CONCATENATE(Data!N357," ",Data!P357)</f>
        <v>-11456 W</v>
      </c>
    </row>
    <row r="360" spans="1:7" x14ac:dyDescent="0.3">
      <c r="A360" s="11" t="str">
        <f>Data!A358</f>
        <v>NISSAN LEAF 299-1018</v>
      </c>
      <c r="B360" s="11" t="str">
        <f>Data!D358</f>
        <v>Vehicle, Battery Electric Vehicle</v>
      </c>
      <c r="C360" s="12">
        <f>Data!F358</f>
        <v>46087.403377141207</v>
      </c>
      <c r="D360" s="11" t="str">
        <f>Data!G358</f>
        <v>Energía de la batería del vehículo eléctrico</v>
      </c>
      <c r="E360" s="11" t="str">
        <f>Data!J358</f>
        <v>Telematics Device</v>
      </c>
      <c r="F360" s="13">
        <f>Data!L358</f>
        <v>0</v>
      </c>
      <c r="G360" s="11" t="str">
        <f>CONCATENATE(Data!N358," ",Data!P358)</f>
        <v>-40633 W</v>
      </c>
    </row>
    <row r="361" spans="1:7" x14ac:dyDescent="0.3">
      <c r="A361" s="11" t="str">
        <f>Data!A359</f>
        <v>NISSAN LEAF 299-1018</v>
      </c>
      <c r="B361" s="11" t="str">
        <f>Data!D359</f>
        <v>Vehicle, Battery Electric Vehicle</v>
      </c>
      <c r="C361" s="12">
        <f>Data!F359</f>
        <v>46087.403423622687</v>
      </c>
      <c r="D361" s="11" t="str">
        <f>Data!G359</f>
        <v>Energía de la batería del vehículo eléctrico</v>
      </c>
      <c r="E361" s="11" t="str">
        <f>Data!J359</f>
        <v>Telematics Device</v>
      </c>
      <c r="F361" s="13">
        <f>Data!L359</f>
        <v>0</v>
      </c>
      <c r="G361" s="11" t="str">
        <f>CONCATENATE(Data!N359," ",Data!P359)</f>
        <v>-10575 W</v>
      </c>
    </row>
    <row r="362" spans="1:7" x14ac:dyDescent="0.3">
      <c r="A362" s="11" t="str">
        <f>Data!A360</f>
        <v>NISSAN LEAF 299-1018</v>
      </c>
      <c r="B362" s="11" t="str">
        <f>Data!D360</f>
        <v>Vehicle, Battery Electric Vehicle</v>
      </c>
      <c r="C362" s="12">
        <f>Data!F360</f>
        <v>46087.403435335647</v>
      </c>
      <c r="D362" s="11" t="str">
        <f>Data!G360</f>
        <v>Energía de la batería del vehículo eléctrico</v>
      </c>
      <c r="E362" s="11" t="str">
        <f>Data!J360</f>
        <v>Telematics Device</v>
      </c>
      <c r="F362" s="13">
        <f>Data!L360</f>
        <v>0</v>
      </c>
      <c r="G362" s="11" t="str">
        <f>CONCATENATE(Data!N360," ",Data!P360)</f>
        <v>-41227 W</v>
      </c>
    </row>
    <row r="363" spans="1:7" x14ac:dyDescent="0.3">
      <c r="A363" s="11" t="str">
        <f>Data!A361</f>
        <v>NISSAN LEAF 299-1018</v>
      </c>
      <c r="B363" s="11" t="str">
        <f>Data!D361</f>
        <v>Vehicle, Battery Electric Vehicle</v>
      </c>
      <c r="C363" s="12">
        <f>Data!F361</f>
        <v>46087.403481712965</v>
      </c>
      <c r="D363" s="11" t="str">
        <f>Data!G361</f>
        <v>Energía de la batería del vehículo eléctrico</v>
      </c>
      <c r="E363" s="11" t="str">
        <f>Data!J361</f>
        <v>Telematics Device</v>
      </c>
      <c r="F363" s="13">
        <f>Data!L361</f>
        <v>0</v>
      </c>
      <c r="G363" s="11" t="str">
        <f>CONCATENATE(Data!N361," ",Data!P361)</f>
        <v>179 W</v>
      </c>
    </row>
    <row r="364" spans="1:7" x14ac:dyDescent="0.3">
      <c r="A364" s="11" t="str">
        <f>Data!A362</f>
        <v>NISSAN LEAF 299-1018</v>
      </c>
      <c r="B364" s="11" t="str">
        <f>Data!D362</f>
        <v>Vehicle, Battery Electric Vehicle</v>
      </c>
      <c r="C364" s="12">
        <f>Data!F362</f>
        <v>46087.4035978588</v>
      </c>
      <c r="D364" s="11" t="str">
        <f>Data!G362</f>
        <v>Energía de la batería del vehículo eléctrico</v>
      </c>
      <c r="E364" s="11" t="str">
        <f>Data!J362</f>
        <v>Telematics Device</v>
      </c>
      <c r="F364" s="13">
        <f>Data!L362</f>
        <v>0</v>
      </c>
      <c r="G364" s="11" t="str">
        <f>CONCATENATE(Data!N362," ",Data!P362)</f>
        <v>-42303 W</v>
      </c>
    </row>
    <row r="365" spans="1:7" x14ac:dyDescent="0.3">
      <c r="A365" s="11" t="str">
        <f>Data!A363</f>
        <v>NISSAN LEAF 299-1018</v>
      </c>
      <c r="B365" s="11" t="str">
        <f>Data!D363</f>
        <v>Vehicle, Battery Electric Vehicle</v>
      </c>
      <c r="C365" s="12">
        <f>Data!F363</f>
        <v>46087.403621053243</v>
      </c>
      <c r="D365" s="11" t="str">
        <f>Data!G363</f>
        <v>Energía de la batería del vehículo eléctrico</v>
      </c>
      <c r="E365" s="11" t="str">
        <f>Data!J363</f>
        <v>Telematics Device</v>
      </c>
      <c r="F365" s="13">
        <f>Data!L363</f>
        <v>0</v>
      </c>
      <c r="G365" s="11" t="str">
        <f>CONCATENATE(Data!N363," ",Data!P363)</f>
        <v>-8483 W</v>
      </c>
    </row>
    <row r="366" spans="1:7" x14ac:dyDescent="0.3">
      <c r="A366" s="11" t="str">
        <f>Data!A364</f>
        <v>NISSAN LEAF 299-1018</v>
      </c>
      <c r="B366" s="11" t="str">
        <f>Data!D364</f>
        <v>Vehicle, Battery Electric Vehicle</v>
      </c>
      <c r="C366" s="12">
        <f>Data!F364</f>
        <v>46087.403806967595</v>
      </c>
      <c r="D366" s="11" t="str">
        <f>Data!G364</f>
        <v>Energía de la batería del vehículo eléctrico</v>
      </c>
      <c r="E366" s="11" t="str">
        <f>Data!J364</f>
        <v>Telematics Device</v>
      </c>
      <c r="F366" s="13">
        <f>Data!L364</f>
        <v>0</v>
      </c>
      <c r="G366" s="11" t="str">
        <f>CONCATENATE(Data!N364," ",Data!P364)</f>
        <v>-33253 W</v>
      </c>
    </row>
    <row r="367" spans="1:7" x14ac:dyDescent="0.3">
      <c r="A367" s="11" t="str">
        <f>Data!A365</f>
        <v>NISSAN LEAF 299-1018</v>
      </c>
      <c r="B367" s="11" t="str">
        <f>Data!D365</f>
        <v>Vehicle, Battery Electric Vehicle</v>
      </c>
      <c r="C367" s="12">
        <f>Data!F365</f>
        <v>46087.403934780094</v>
      </c>
      <c r="D367" s="11" t="str">
        <f>Data!G365</f>
        <v>Energía de la batería del vehículo eléctrico</v>
      </c>
      <c r="E367" s="11" t="str">
        <f>Data!J365</f>
        <v>Telematics Device</v>
      </c>
      <c r="F367" s="13">
        <f>Data!L365</f>
        <v>0</v>
      </c>
      <c r="G367" s="11" t="str">
        <f>CONCATENATE(Data!N365," ",Data!P365)</f>
        <v>2864 W</v>
      </c>
    </row>
    <row r="368" spans="1:7" x14ac:dyDescent="0.3">
      <c r="A368" s="11" t="str">
        <f>Data!A366</f>
        <v>NISSAN LEAF 299-1018</v>
      </c>
      <c r="B368" s="11" t="str">
        <f>Data!D366</f>
        <v>Vehicle, Battery Electric Vehicle</v>
      </c>
      <c r="C368" s="12">
        <f>Data!F366</f>
        <v>46087.404144918983</v>
      </c>
      <c r="D368" s="11" t="str">
        <f>Data!G366</f>
        <v>Estado de carga genérico</v>
      </c>
      <c r="E368" s="11" t="str">
        <f>Data!J366</f>
        <v>Telematics Device</v>
      </c>
      <c r="F368" s="13">
        <f>Data!L366</f>
        <v>0</v>
      </c>
      <c r="G368" s="11" t="str">
        <f>CONCATENATE(Data!N366," ",Data!P366)</f>
        <v>58.66 %</v>
      </c>
    </row>
    <row r="369" spans="1:7" x14ac:dyDescent="0.3">
      <c r="A369" s="11" t="str">
        <f>Data!A367</f>
        <v>NISSAN LEAF 299-1018</v>
      </c>
      <c r="B369" s="11" t="str">
        <f>Data!D367</f>
        <v>Vehicle, Battery Electric Vehicle</v>
      </c>
      <c r="C369" s="12">
        <f>Data!F367</f>
        <v>46087.404400277781</v>
      </c>
      <c r="D369" s="11" t="str">
        <f>Data!G367</f>
        <v>Energía de la batería del vehículo eléctrico</v>
      </c>
      <c r="E369" s="11" t="str">
        <f>Data!J367</f>
        <v>Telematics Device</v>
      </c>
      <c r="F369" s="13">
        <f>Data!L367</f>
        <v>0</v>
      </c>
      <c r="G369" s="11" t="str">
        <f>CONCATENATE(Data!N367," ",Data!P367)</f>
        <v>-42061 W</v>
      </c>
    </row>
    <row r="370" spans="1:7" x14ac:dyDescent="0.3">
      <c r="A370" s="11" t="str">
        <f>Data!A368</f>
        <v>NISSAN LEAF 299-1018</v>
      </c>
      <c r="B370" s="11" t="str">
        <f>Data!D368</f>
        <v>Vehicle, Battery Electric Vehicle</v>
      </c>
      <c r="C370" s="12">
        <f>Data!F368</f>
        <v>46087.404482106482</v>
      </c>
      <c r="D370" s="11" t="str">
        <f>Data!G368</f>
        <v>Energía de la batería del vehículo eléctrico</v>
      </c>
      <c r="E370" s="11" t="str">
        <f>Data!J368</f>
        <v>Telematics Device</v>
      </c>
      <c r="F370" s="13">
        <f>Data!L368</f>
        <v>0</v>
      </c>
      <c r="G370" s="11" t="str">
        <f>CONCATENATE(Data!N368," ",Data!P368)</f>
        <v>-7783 W</v>
      </c>
    </row>
    <row r="371" spans="1:7" x14ac:dyDescent="0.3">
      <c r="A371" s="11" t="str">
        <f>Data!A369</f>
        <v>NISSAN LEAF 299-1018</v>
      </c>
      <c r="B371" s="11" t="str">
        <f>Data!D369</f>
        <v>Vehicle, Battery Electric Vehicle</v>
      </c>
      <c r="C371" s="12">
        <f>Data!F369</f>
        <v>46087.404865856479</v>
      </c>
      <c r="D371" s="11" t="str">
        <f>Data!G369</f>
        <v>Energía de la batería del vehículo eléctrico</v>
      </c>
      <c r="E371" s="11" t="str">
        <f>Data!J369</f>
        <v>Telematics Device</v>
      </c>
      <c r="F371" s="13">
        <f>Data!L369</f>
        <v>0</v>
      </c>
      <c r="G371" s="11" t="str">
        <f>CONCATENATE(Data!N369," ",Data!P369)</f>
        <v>-10620 W</v>
      </c>
    </row>
    <row r="372" spans="1:7" x14ac:dyDescent="0.3">
      <c r="A372" s="11" t="str">
        <f>Data!A370</f>
        <v>NISSAN LEAF 299-1018</v>
      </c>
      <c r="B372" s="11" t="str">
        <f>Data!D370</f>
        <v>Vehicle, Battery Electric Vehicle</v>
      </c>
      <c r="C372" s="12">
        <f>Data!F370</f>
        <v>46087.404889004632</v>
      </c>
      <c r="D372" s="11" t="str">
        <f>Data!G370</f>
        <v>Energía de la batería del vehículo eléctrico</v>
      </c>
      <c r="E372" s="11" t="str">
        <f>Data!J370</f>
        <v>Telematics Device</v>
      </c>
      <c r="F372" s="13">
        <f>Data!L370</f>
        <v>0</v>
      </c>
      <c r="G372" s="11" t="str">
        <f>CONCATENATE(Data!N370," ",Data!P370)</f>
        <v>-42529 W</v>
      </c>
    </row>
    <row r="373" spans="1:7" x14ac:dyDescent="0.3">
      <c r="A373" s="11" t="str">
        <f>Data!A371</f>
        <v>NISSAN LEAF 299-1018</v>
      </c>
      <c r="B373" s="11" t="str">
        <f>Data!D371</f>
        <v>Vehicle, Battery Electric Vehicle</v>
      </c>
      <c r="C373" s="12">
        <f>Data!F371</f>
        <v>46087.404923726855</v>
      </c>
      <c r="D373" s="11" t="str">
        <f>Data!G371</f>
        <v>Energía de la batería del vehículo eléctrico</v>
      </c>
      <c r="E373" s="11" t="str">
        <f>Data!J371</f>
        <v>Telematics Device</v>
      </c>
      <c r="F373" s="13">
        <f>Data!L371</f>
        <v>0</v>
      </c>
      <c r="G373" s="11" t="str">
        <f>CONCATENATE(Data!N371," ",Data!P371)</f>
        <v>-8349 W</v>
      </c>
    </row>
    <row r="374" spans="1:7" x14ac:dyDescent="0.3">
      <c r="A374" s="11" t="str">
        <f>Data!A372</f>
        <v>NISSAN LEAF 299-1018</v>
      </c>
      <c r="B374" s="11" t="str">
        <f>Data!D372</f>
        <v>Vehicle, Battery Electric Vehicle</v>
      </c>
      <c r="C374" s="12">
        <f>Data!F372</f>
        <v>46087.405133148146</v>
      </c>
      <c r="D374" s="11" t="str">
        <f>Data!G372</f>
        <v>Energía de la batería del vehículo eléctrico</v>
      </c>
      <c r="E374" s="11" t="str">
        <f>Data!J372</f>
        <v>Telematics Device</v>
      </c>
      <c r="F374" s="13">
        <f>Data!L372</f>
        <v>0</v>
      </c>
      <c r="G374" s="11" t="str">
        <f>CONCATENATE(Data!N372," ",Data!P372)</f>
        <v>-35574 W</v>
      </c>
    </row>
    <row r="375" spans="1:7" x14ac:dyDescent="0.3">
      <c r="A375" s="11" t="str">
        <f>Data!A373</f>
        <v>NISSAN LEAF 299-1018</v>
      </c>
      <c r="B375" s="11" t="str">
        <f>Data!D373</f>
        <v>Vehicle, Battery Electric Vehicle</v>
      </c>
      <c r="C375" s="12">
        <f>Data!F373</f>
        <v>46087.405156064815</v>
      </c>
      <c r="D375" s="11" t="str">
        <f>Data!G373</f>
        <v>Energía de la batería del vehículo eléctrico</v>
      </c>
      <c r="E375" s="11" t="str">
        <f>Data!J373</f>
        <v>Telematics Device</v>
      </c>
      <c r="F375" s="13">
        <f>Data!L373</f>
        <v>0</v>
      </c>
      <c r="G375" s="11" t="str">
        <f>CONCATENATE(Data!N373," ",Data!P373)</f>
        <v>-8893 W</v>
      </c>
    </row>
    <row r="376" spans="1:7" x14ac:dyDescent="0.3">
      <c r="A376" s="11" t="str">
        <f>Data!A374</f>
        <v>NISSAN LEAF 299-1018</v>
      </c>
      <c r="B376" s="11" t="str">
        <f>Data!D374</f>
        <v>Vehicle, Battery Electric Vehicle</v>
      </c>
      <c r="C376" s="12">
        <f>Data!F374</f>
        <v>46087.405303634259</v>
      </c>
      <c r="D376" s="11" t="str">
        <f>Data!G374</f>
        <v>Estado de carga genérico</v>
      </c>
      <c r="E376" s="11" t="str">
        <f>Data!J374</f>
        <v>Telematics Device</v>
      </c>
      <c r="F376" s="13">
        <f>Data!L374</f>
        <v>0</v>
      </c>
      <c r="G376" s="11" t="str">
        <f>CONCATENATE(Data!N374," ",Data!P374)</f>
        <v>59.88 %</v>
      </c>
    </row>
    <row r="377" spans="1:7" x14ac:dyDescent="0.3">
      <c r="A377" s="11" t="str">
        <f>Data!A375</f>
        <v>NISSAN LEAF 299-1018</v>
      </c>
      <c r="B377" s="11" t="str">
        <f>Data!D375</f>
        <v>Vehicle, Battery Electric Vehicle</v>
      </c>
      <c r="C377" s="12">
        <f>Data!F375</f>
        <v>46087.405551620373</v>
      </c>
      <c r="D377" s="11" t="str">
        <f>Data!G375</f>
        <v>Energía de la batería del vehículo eléctrico</v>
      </c>
      <c r="E377" s="11" t="str">
        <f>Data!J375</f>
        <v>Telematics Device</v>
      </c>
      <c r="F377" s="13">
        <f>Data!L375</f>
        <v>0</v>
      </c>
      <c r="G377" s="11" t="str">
        <f>CONCATENATE(Data!N375," ",Data!P375)</f>
        <v>-40906 W</v>
      </c>
    </row>
    <row r="378" spans="1:7" x14ac:dyDescent="0.3">
      <c r="A378" s="11" t="str">
        <f>Data!A376</f>
        <v>NISSAN LEAF 299-1018</v>
      </c>
      <c r="B378" s="11" t="str">
        <f>Data!D376</f>
        <v>Vehicle, Battery Electric Vehicle</v>
      </c>
      <c r="C378" s="12">
        <f>Data!F376</f>
        <v>46087.40558648148</v>
      </c>
      <c r="D378" s="11" t="str">
        <f>Data!G376</f>
        <v>Energía de la batería del vehículo eléctrico</v>
      </c>
      <c r="E378" s="11" t="str">
        <f>Data!J376</f>
        <v>Telematics Device</v>
      </c>
      <c r="F378" s="13">
        <f>Data!L376</f>
        <v>0</v>
      </c>
      <c r="G378" s="11" t="str">
        <f>CONCATENATE(Data!N376," ",Data!P376)</f>
        <v>-8495 W</v>
      </c>
    </row>
    <row r="379" spans="1:7" x14ac:dyDescent="0.3">
      <c r="A379" s="11" t="str">
        <f>Data!A377</f>
        <v>NISSAN LEAF 299-1018</v>
      </c>
      <c r="B379" s="11" t="str">
        <f>Data!D377</f>
        <v>Vehicle, Battery Electric Vehicle</v>
      </c>
      <c r="C379" s="12">
        <f>Data!F377</f>
        <v>46087.40624895833</v>
      </c>
      <c r="D379" s="11" t="str">
        <f>Data!G377</f>
        <v>Energía de la batería del vehículo eléctrico</v>
      </c>
      <c r="E379" s="11" t="str">
        <f>Data!J377</f>
        <v>Telematics Device</v>
      </c>
      <c r="F379" s="13">
        <f>Data!L377</f>
        <v>0</v>
      </c>
      <c r="G379" s="11" t="str">
        <f>CONCATENATE(Data!N377," ",Data!P377)</f>
        <v>-34303 W</v>
      </c>
    </row>
    <row r="380" spans="1:7" x14ac:dyDescent="0.3">
      <c r="A380" s="11" t="str">
        <f>Data!A378</f>
        <v>NISSAN LEAF 299-1018</v>
      </c>
      <c r="B380" s="11" t="str">
        <f>Data!D378</f>
        <v>Vehicle, Battery Electric Vehicle</v>
      </c>
      <c r="C380" s="12">
        <f>Data!F378</f>
        <v>46087.406693344907</v>
      </c>
      <c r="D380" s="11" t="str">
        <f>Data!G378</f>
        <v>Estado de carga genérico</v>
      </c>
      <c r="E380" s="11" t="str">
        <f>Data!J378</f>
        <v>Telematics Device</v>
      </c>
      <c r="F380" s="13">
        <f>Data!L378</f>
        <v>0</v>
      </c>
      <c r="G380" s="11" t="str">
        <f>CONCATENATE(Data!N378," ",Data!P378)</f>
        <v>61.1 %</v>
      </c>
    </row>
    <row r="381" spans="1:7" x14ac:dyDescent="0.3">
      <c r="A381" s="11" t="str">
        <f>Data!A379</f>
        <v>NISSAN LEAF 299-1018</v>
      </c>
      <c r="B381" s="11" t="str">
        <f>Data!D379</f>
        <v>Vehicle, Battery Electric Vehicle</v>
      </c>
      <c r="C381" s="12">
        <f>Data!F379</f>
        <v>46087.406795474541</v>
      </c>
      <c r="D381" s="11" t="str">
        <f>Data!G379</f>
        <v>Energía de la batería del vehículo eléctrico</v>
      </c>
      <c r="E381" s="11" t="str">
        <f>Data!J379</f>
        <v>Telematics Device</v>
      </c>
      <c r="F381" s="13">
        <f>Data!L379</f>
        <v>0</v>
      </c>
      <c r="G381" s="11" t="str">
        <f>CONCATENATE(Data!N379," ",Data!P379)</f>
        <v>-8495 W</v>
      </c>
    </row>
    <row r="382" spans="1:7" x14ac:dyDescent="0.3">
      <c r="A382" s="11" t="str">
        <f>Data!A380</f>
        <v>NISSAN LEAF 299-1018</v>
      </c>
      <c r="B382" s="11" t="str">
        <f>Data!D380</f>
        <v>Vehicle, Battery Electric Vehicle</v>
      </c>
      <c r="C382" s="12">
        <f>Data!F380</f>
        <v>46087.406853611108</v>
      </c>
      <c r="D382" s="11" t="str">
        <f>Data!G380</f>
        <v>Energía de la batería del vehículo eléctrico</v>
      </c>
      <c r="E382" s="11" t="str">
        <f>Data!J380</f>
        <v>Telematics Device</v>
      </c>
      <c r="F382" s="13">
        <f>Data!L380</f>
        <v>0</v>
      </c>
      <c r="G382" s="11" t="str">
        <f>CONCATENATE(Data!N380," ",Data!P380)</f>
        <v>-36381 W</v>
      </c>
    </row>
    <row r="383" spans="1:7" x14ac:dyDescent="0.3">
      <c r="A383" s="11" t="str">
        <f>Data!A381</f>
        <v>NISSAN LEAF 299-1018</v>
      </c>
      <c r="B383" s="11" t="str">
        <f>Data!D381</f>
        <v>Vehicle, Battery Electric Vehicle</v>
      </c>
      <c r="C383" s="12">
        <f>Data!F381</f>
        <v>46087.40790111111</v>
      </c>
      <c r="D383" s="11" t="str">
        <f>Data!G381</f>
        <v>Energía de la batería del vehículo eléctrico</v>
      </c>
      <c r="E383" s="11" t="str">
        <f>Data!J381</f>
        <v>Telematics Device</v>
      </c>
      <c r="F383" s="13">
        <f>Data!L381</f>
        <v>0</v>
      </c>
      <c r="G383" s="11" t="str">
        <f>CONCATENATE(Data!N381," ",Data!P381)</f>
        <v>-6335 W</v>
      </c>
    </row>
    <row r="384" spans="1:7" x14ac:dyDescent="0.3">
      <c r="A384" s="11" t="str">
        <f>Data!A382</f>
        <v>NISSAN LEAF 299-1018</v>
      </c>
      <c r="B384" s="11" t="str">
        <f>Data!D382</f>
        <v>Vehicle, Battery Electric Vehicle</v>
      </c>
      <c r="C384" s="12">
        <f>Data!F382</f>
        <v>46087.40800560185</v>
      </c>
      <c r="D384" s="11" t="str">
        <f>Data!G382</f>
        <v>Energía de la batería del vehículo eléctrico</v>
      </c>
      <c r="E384" s="11" t="str">
        <f>Data!J382</f>
        <v>Telematics Device</v>
      </c>
      <c r="F384" s="13">
        <f>Data!L382</f>
        <v>0</v>
      </c>
      <c r="G384" s="11" t="str">
        <f>CONCATENATE(Data!N382," ",Data!P382)</f>
        <v>39872 W</v>
      </c>
    </row>
    <row r="385" spans="1:7" x14ac:dyDescent="0.3">
      <c r="A385" s="11" t="str">
        <f>Data!A383</f>
        <v>NISSAN LEAF 299-1018</v>
      </c>
      <c r="B385" s="11" t="str">
        <f>Data!D383</f>
        <v>Vehicle, Battery Electric Vehicle</v>
      </c>
      <c r="C385" s="12">
        <f>Data!F383</f>
        <v>46087.408063738425</v>
      </c>
      <c r="D385" s="11" t="str">
        <f>Data!G383</f>
        <v>Energía de la batería del vehículo eléctrico</v>
      </c>
      <c r="E385" s="11" t="str">
        <f>Data!J383</f>
        <v>Telematics Device</v>
      </c>
      <c r="F385" s="13">
        <f>Data!L383</f>
        <v>0</v>
      </c>
      <c r="G385" s="11" t="str">
        <f>CONCATENATE(Data!N383," ",Data!P383)</f>
        <v>-20396 W</v>
      </c>
    </row>
    <row r="386" spans="1:7" x14ac:dyDescent="0.3">
      <c r="A386" s="11" t="str">
        <f>Data!A384</f>
        <v>NISSAN LEAF 299-1018</v>
      </c>
      <c r="B386" s="11" t="str">
        <f>Data!D384</f>
        <v>Vehicle, Battery Electric Vehicle</v>
      </c>
      <c r="C386" s="12">
        <f>Data!F384</f>
        <v>46087.408145347224</v>
      </c>
      <c r="D386" s="11" t="str">
        <f>Data!G384</f>
        <v>Energía de la batería del vehículo eléctrico</v>
      </c>
      <c r="E386" s="11" t="str">
        <f>Data!J384</f>
        <v>Telematics Device</v>
      </c>
      <c r="F386" s="13">
        <f>Data!L384</f>
        <v>0</v>
      </c>
      <c r="G386" s="11" t="str">
        <f>CONCATENATE(Data!N384," ",Data!P384)</f>
        <v>8640 W</v>
      </c>
    </row>
    <row r="387" spans="1:7" x14ac:dyDescent="0.3">
      <c r="A387" s="11" t="str">
        <f>Data!A385</f>
        <v>NISSAN LEAF 299-1018</v>
      </c>
      <c r="B387" s="11" t="str">
        <f>Data!D385</f>
        <v>Vehicle, Battery Electric Vehicle</v>
      </c>
      <c r="C387" s="12">
        <f>Data!F385</f>
        <v>46087.408307789352</v>
      </c>
      <c r="D387" s="11" t="str">
        <f>Data!G385</f>
        <v>Energía de la batería del vehículo eléctrico</v>
      </c>
      <c r="E387" s="11" t="str">
        <f>Data!J385</f>
        <v>Telematics Device</v>
      </c>
      <c r="F387" s="13">
        <f>Data!L385</f>
        <v>0</v>
      </c>
      <c r="G387" s="11" t="str">
        <f>CONCATENATE(Data!N385," ",Data!P385)</f>
        <v>-20634 W</v>
      </c>
    </row>
    <row r="388" spans="1:7" x14ac:dyDescent="0.3">
      <c r="A388" s="11" t="str">
        <f>Data!A386</f>
        <v>NISSAN LEAF 299-1018</v>
      </c>
      <c r="B388" s="11" t="str">
        <f>Data!D386</f>
        <v>Vehicle, Battery Electric Vehicle</v>
      </c>
      <c r="C388" s="12">
        <f>Data!F386</f>
        <v>46087.40875023148</v>
      </c>
      <c r="D388" s="11" t="str">
        <f>Data!G386</f>
        <v>Energía de la batería del vehículo eléctrico</v>
      </c>
      <c r="E388" s="11" t="str">
        <f>Data!J386</f>
        <v>Telematics Device</v>
      </c>
      <c r="F388" s="13">
        <f>Data!L386</f>
        <v>0</v>
      </c>
      <c r="G388" s="11" t="str">
        <f>CONCATENATE(Data!N386," ",Data!P386)</f>
        <v>2163 W</v>
      </c>
    </row>
    <row r="389" spans="1:7" x14ac:dyDescent="0.3">
      <c r="A389" s="11" t="str">
        <f>Data!A387</f>
        <v>NISSAN LEAF 299-1018</v>
      </c>
      <c r="B389" s="11" t="str">
        <f>Data!D387</f>
        <v>Vehicle, Battery Electric Vehicle</v>
      </c>
      <c r="C389" s="12">
        <f>Data!F387</f>
        <v>46087.408773460651</v>
      </c>
      <c r="D389" s="11" t="str">
        <f>Data!G387</f>
        <v>Energía de la batería del vehículo eléctrico</v>
      </c>
      <c r="E389" s="11" t="str">
        <f>Data!J387</f>
        <v>Telematics Device</v>
      </c>
      <c r="F389" s="13">
        <f>Data!L387</f>
        <v>0</v>
      </c>
      <c r="G389" s="11" t="str">
        <f>CONCATENATE(Data!N387," ",Data!P387)</f>
        <v>-32262 W</v>
      </c>
    </row>
    <row r="390" spans="1:7" x14ac:dyDescent="0.3">
      <c r="A390" s="11" t="str">
        <f>Data!A388</f>
        <v>NISSAN LEAF 299-1018</v>
      </c>
      <c r="B390" s="11" t="str">
        <f>Data!D388</f>
        <v>Vehicle, Battery Electric Vehicle</v>
      </c>
      <c r="C390" s="12">
        <f>Data!F388</f>
        <v>46087.408777442128</v>
      </c>
      <c r="D390" s="11" t="str">
        <f>Data!G388</f>
        <v>Estado de carga genérico</v>
      </c>
      <c r="E390" s="11" t="str">
        <f>Data!J388</f>
        <v>Telematics Device</v>
      </c>
      <c r="F390" s="13">
        <f>Data!L388</f>
        <v>0</v>
      </c>
      <c r="G390" s="11" t="str">
        <f>CONCATENATE(Data!N388," ",Data!P388)</f>
        <v>62.195 %</v>
      </c>
    </row>
    <row r="391" spans="1:7" x14ac:dyDescent="0.3">
      <c r="A391" s="11" t="str">
        <f>Data!A389</f>
        <v>NISSAN LEAF 299-1018</v>
      </c>
      <c r="B391" s="11" t="str">
        <f>Data!D389</f>
        <v>Vehicle, Battery Electric Vehicle</v>
      </c>
      <c r="C391" s="12">
        <f>Data!F389</f>
        <v>46087.409168379629</v>
      </c>
      <c r="D391" s="11" t="str">
        <f>Data!G389</f>
        <v>Energía de la batería del vehículo eléctrico</v>
      </c>
      <c r="E391" s="11" t="str">
        <f>Data!J389</f>
        <v>Telematics Device</v>
      </c>
      <c r="F391" s="13">
        <f>Data!L389</f>
        <v>0</v>
      </c>
      <c r="G391" s="11" t="str">
        <f>CONCATENATE(Data!N389," ",Data!P389)</f>
        <v>-9996 W</v>
      </c>
    </row>
    <row r="392" spans="1:7" x14ac:dyDescent="0.3">
      <c r="A392" s="11" t="str">
        <f>Data!A390</f>
        <v>NISSAN LEAF 299-1018</v>
      </c>
      <c r="B392" s="11" t="str">
        <f>Data!D390</f>
        <v>Vehicle, Battery Electric Vehicle</v>
      </c>
      <c r="C392" s="12">
        <f>Data!F390</f>
        <v>46087.409191620369</v>
      </c>
      <c r="D392" s="11" t="str">
        <f>Data!G390</f>
        <v>Energía de la batería del vehículo eléctrico</v>
      </c>
      <c r="E392" s="11" t="str">
        <f>Data!J390</f>
        <v>Telematics Device</v>
      </c>
      <c r="F392" s="13">
        <f>Data!L390</f>
        <v>0</v>
      </c>
      <c r="G392" s="11" t="str">
        <f>CONCATENATE(Data!N390," ",Data!P390)</f>
        <v>-42347 W</v>
      </c>
    </row>
    <row r="393" spans="1:7" x14ac:dyDescent="0.3">
      <c r="A393" s="11" t="str">
        <f>Data!A391</f>
        <v>NISSAN LEAF 299-1018</v>
      </c>
      <c r="B393" s="11" t="str">
        <f>Data!D391</f>
        <v>Vehicle, Battery Electric Vehicle</v>
      </c>
      <c r="C393" s="12">
        <f>Data!F391</f>
        <v>46087.409260706016</v>
      </c>
      <c r="D393" s="11" t="str">
        <f>Data!G391</f>
        <v>Voltaje de la batería de alta tensión</v>
      </c>
      <c r="E393" s="11" t="str">
        <f>Data!J391</f>
        <v>Telematics Device</v>
      </c>
      <c r="F393" s="13">
        <f>Data!L391</f>
        <v>0</v>
      </c>
      <c r="G393" s="11" t="str">
        <f>CONCATENATE(Data!N391," ",Data!P391)</f>
        <v>368 V</v>
      </c>
    </row>
    <row r="394" spans="1:7" x14ac:dyDescent="0.3">
      <c r="A394" s="11" t="str">
        <f>Data!A392</f>
        <v>NISSAN LEAF 299-1018</v>
      </c>
      <c r="B394" s="11" t="str">
        <f>Data!D392</f>
        <v>Vehicle, Battery Electric Vehicle</v>
      </c>
      <c r="C394" s="12">
        <f>Data!F392</f>
        <v>46087.409493819447</v>
      </c>
      <c r="D394" s="11" t="str">
        <f>Data!G392</f>
        <v>Energía de la batería del vehículo eléctrico</v>
      </c>
      <c r="E394" s="11" t="str">
        <f>Data!J392</f>
        <v>Telematics Device</v>
      </c>
      <c r="F394" s="13">
        <f>Data!L392</f>
        <v>0</v>
      </c>
      <c r="G394" s="11" t="str">
        <f>CONCATENATE(Data!N392," ",Data!P392)</f>
        <v>14640 W</v>
      </c>
    </row>
    <row r="395" spans="1:7" x14ac:dyDescent="0.3">
      <c r="A395" s="11" t="str">
        <f>Data!A393</f>
        <v>NISSAN LEAF 299-1018</v>
      </c>
      <c r="B395" s="11" t="str">
        <f>Data!D393</f>
        <v>Vehicle, Battery Electric Vehicle</v>
      </c>
      <c r="C395" s="12">
        <f>Data!F393</f>
        <v>46087.409563437497</v>
      </c>
      <c r="D395" s="11" t="str">
        <f>Data!G393</f>
        <v>Energía de la batería del vehículo eléctrico</v>
      </c>
      <c r="E395" s="11" t="str">
        <f>Data!J393</f>
        <v>Telematics Device</v>
      </c>
      <c r="F395" s="13">
        <f>Data!L393</f>
        <v>0</v>
      </c>
      <c r="G395" s="11" t="str">
        <f>CONCATENATE(Data!N393," ",Data!P393)</f>
        <v>-33169 W</v>
      </c>
    </row>
    <row r="396" spans="1:7" x14ac:dyDescent="0.3">
      <c r="A396" s="11" t="str">
        <f>Data!A394</f>
        <v>NISSAN LEAF 299-1018</v>
      </c>
      <c r="B396" s="11" t="str">
        <f>Data!D394</f>
        <v>Vehicle, Battery Electric Vehicle</v>
      </c>
      <c r="C396" s="12">
        <f>Data!F394</f>
        <v>46087.409667974534</v>
      </c>
      <c r="D396" s="11" t="str">
        <f>Data!G394</f>
        <v>Energía de la batería del vehículo eléctrico</v>
      </c>
      <c r="E396" s="11" t="str">
        <f>Data!J394</f>
        <v>Telematics Device</v>
      </c>
      <c r="F396" s="13">
        <f>Data!L394</f>
        <v>0</v>
      </c>
      <c r="G396" s="11" t="str">
        <f>CONCATENATE(Data!N394," ",Data!P394)</f>
        <v>7260 W</v>
      </c>
    </row>
    <row r="397" spans="1:7" x14ac:dyDescent="0.3">
      <c r="A397" s="11" t="str">
        <f>Data!A395</f>
        <v>NISSAN LEAF 299-1018</v>
      </c>
      <c r="B397" s="11" t="str">
        <f>Data!D395</f>
        <v>Vehicle, Battery Electric Vehicle</v>
      </c>
      <c r="C397" s="12">
        <f>Data!F395</f>
        <v>46087.409842349538</v>
      </c>
      <c r="D397" s="11" t="str">
        <f>Data!G395</f>
        <v>Energía de la batería del vehículo eléctrico</v>
      </c>
      <c r="E397" s="11" t="str">
        <f>Data!J395</f>
        <v>Telematics Device</v>
      </c>
      <c r="F397" s="13">
        <f>Data!L395</f>
        <v>0</v>
      </c>
      <c r="G397" s="11" t="str">
        <f>CONCATENATE(Data!N395," ",Data!P395)</f>
        <v>-32112 W</v>
      </c>
    </row>
    <row r="398" spans="1:7" x14ac:dyDescent="0.3">
      <c r="A398" s="11" t="str">
        <f>Data!A396</f>
        <v>NISSAN LEAF 299-1018</v>
      </c>
      <c r="B398" s="11" t="str">
        <f>Data!D396</f>
        <v>Vehicle, Battery Electric Vehicle</v>
      </c>
      <c r="C398" s="12">
        <f>Data!F396</f>
        <v>46087.409981689816</v>
      </c>
      <c r="D398" s="11" t="str">
        <f>Data!G396</f>
        <v>Energía de la batería del vehículo eléctrico</v>
      </c>
      <c r="E398" s="11" t="str">
        <f>Data!J396</f>
        <v>Telematics Device</v>
      </c>
      <c r="F398" s="13">
        <f>Data!L396</f>
        <v>0</v>
      </c>
      <c r="G398" s="11" t="str">
        <f>CONCATENATE(Data!N396," ",Data!P396)</f>
        <v>-30378 W</v>
      </c>
    </row>
    <row r="399" spans="1:7" x14ac:dyDescent="0.3">
      <c r="A399" s="11" t="str">
        <f>Data!A397</f>
        <v>NISSAN LEAF 299-1018</v>
      </c>
      <c r="B399" s="11" t="str">
        <f>Data!D397</f>
        <v>Vehicle, Battery Electric Vehicle</v>
      </c>
      <c r="C399" s="12">
        <f>Data!F397</f>
        <v>46087.410074513886</v>
      </c>
      <c r="D399" s="11" t="str">
        <f>Data!G397</f>
        <v>Energía de la batería del vehículo eléctrico</v>
      </c>
      <c r="E399" s="11" t="str">
        <f>Data!J397</f>
        <v>Telematics Device</v>
      </c>
      <c r="F399" s="13">
        <f>Data!L397</f>
        <v>0</v>
      </c>
      <c r="G399" s="11" t="str">
        <f>CONCATENATE(Data!N397," ",Data!P397)</f>
        <v>32896 W</v>
      </c>
    </row>
    <row r="400" spans="1:7" x14ac:dyDescent="0.3">
      <c r="A400" s="11" t="str">
        <f>Data!A398</f>
        <v>NISSAN LEAF 299-1018</v>
      </c>
      <c r="B400" s="11" t="str">
        <f>Data!D398</f>
        <v>Vehicle, Battery Electric Vehicle</v>
      </c>
      <c r="C400" s="12">
        <f>Data!F398</f>
        <v>46087.41013246528</v>
      </c>
      <c r="D400" s="11" t="str">
        <f>Data!G398</f>
        <v>Energía de la batería del vehículo eléctrico</v>
      </c>
      <c r="E400" s="11" t="str">
        <f>Data!J398</f>
        <v>Telematics Device</v>
      </c>
      <c r="F400" s="13">
        <f>Data!L398</f>
        <v>0</v>
      </c>
      <c r="G400" s="11" t="str">
        <f>CONCATENATE(Data!N398," ",Data!P398)</f>
        <v>-3064 W</v>
      </c>
    </row>
    <row r="401" spans="1:7" x14ac:dyDescent="0.3">
      <c r="A401" s="11" t="str">
        <f>Data!A399</f>
        <v>NISSAN LEAF 299-1018</v>
      </c>
      <c r="B401" s="11" t="str">
        <f>Data!D399</f>
        <v>Vehicle, Battery Electric Vehicle</v>
      </c>
      <c r="C401" s="12">
        <f>Data!F399</f>
        <v>46087.410411562501</v>
      </c>
      <c r="D401" s="11" t="str">
        <f>Data!G399</f>
        <v>Energía de la batería del vehículo eléctrico</v>
      </c>
      <c r="E401" s="11" t="str">
        <f>Data!J399</f>
        <v>Telematics Device</v>
      </c>
      <c r="F401" s="13">
        <f>Data!L399</f>
        <v>0</v>
      </c>
      <c r="G401" s="11" t="str">
        <f>CONCATENATE(Data!N399," ",Data!P399)</f>
        <v>8856 W</v>
      </c>
    </row>
    <row r="402" spans="1:7" x14ac:dyDescent="0.3">
      <c r="A402" s="11" t="str">
        <f>Data!A400</f>
        <v>NISSAN LEAF 299-1018</v>
      </c>
      <c r="B402" s="11" t="str">
        <f>Data!D400</f>
        <v>Vehicle, Battery Electric Vehicle</v>
      </c>
      <c r="C402" s="12">
        <f>Data!F400</f>
        <v>46087.410516226853</v>
      </c>
      <c r="D402" s="11" t="str">
        <f>Data!G400</f>
        <v>Energía de la batería del vehículo eléctrico</v>
      </c>
      <c r="E402" s="11" t="str">
        <f>Data!J400</f>
        <v>Telematics Device</v>
      </c>
      <c r="F402" s="13">
        <f>Data!L400</f>
        <v>0</v>
      </c>
      <c r="G402" s="11" t="str">
        <f>CONCATENATE(Data!N400," ",Data!P400)</f>
        <v>-31668 W</v>
      </c>
    </row>
    <row r="403" spans="1:7" x14ac:dyDescent="0.3">
      <c r="A403" s="11" t="str">
        <f>Data!A401</f>
        <v>NISSAN LEAF 299-1018</v>
      </c>
      <c r="B403" s="11" t="str">
        <f>Data!D401</f>
        <v>Vehicle, Battery Electric Vehicle</v>
      </c>
      <c r="C403" s="12">
        <f>Data!F401</f>
        <v>46087.410703078705</v>
      </c>
      <c r="D403" s="11" t="str">
        <f>Data!G401</f>
        <v>Energía de la batería del vehículo eléctrico</v>
      </c>
      <c r="E403" s="11" t="str">
        <f>Data!J401</f>
        <v>Telematics Device</v>
      </c>
      <c r="F403" s="13">
        <f>Data!L401</f>
        <v>0</v>
      </c>
      <c r="G403" s="11" t="str">
        <f>CONCATENATE(Data!N401," ",Data!P401)</f>
        <v>-9464 W</v>
      </c>
    </row>
    <row r="404" spans="1:7" x14ac:dyDescent="0.3">
      <c r="A404" s="11" t="str">
        <f>Data!A402</f>
        <v>NISSAN LEAF 299-1018</v>
      </c>
      <c r="B404" s="11" t="str">
        <f>Data!D402</f>
        <v>Vehicle, Battery Electric Vehicle</v>
      </c>
      <c r="C404" s="12">
        <f>Data!F402</f>
        <v>46087.410737939812</v>
      </c>
      <c r="D404" s="11" t="str">
        <f>Data!G402</f>
        <v>Energía de la batería del vehículo eléctrico</v>
      </c>
      <c r="E404" s="11" t="str">
        <f>Data!J402</f>
        <v>Telematics Device</v>
      </c>
      <c r="F404" s="13">
        <f>Data!L402</f>
        <v>0</v>
      </c>
      <c r="G404" s="11" t="str">
        <f>CONCATENATE(Data!N402," ",Data!P402)</f>
        <v>-39839 W</v>
      </c>
    </row>
    <row r="405" spans="1:7" x14ac:dyDescent="0.3">
      <c r="A405" s="11" t="str">
        <f>Data!A403</f>
        <v>NISSAN LEAF 299-1018</v>
      </c>
      <c r="B405" s="11" t="str">
        <f>Data!D403</f>
        <v>Vehicle, Battery Electric Vehicle</v>
      </c>
      <c r="C405" s="12">
        <f>Data!F403</f>
        <v>46087.410795763892</v>
      </c>
      <c r="D405" s="11" t="str">
        <f>Data!G403</f>
        <v>Energía de la batería del vehículo eléctrico</v>
      </c>
      <c r="E405" s="11" t="str">
        <f>Data!J403</f>
        <v>Telematics Device</v>
      </c>
      <c r="F405" s="13">
        <f>Data!L403</f>
        <v>0</v>
      </c>
      <c r="G405" s="11" t="str">
        <f>CONCATENATE(Data!N403," ",Data!P403)</f>
        <v>9112 W</v>
      </c>
    </row>
    <row r="406" spans="1:7" x14ac:dyDescent="0.3">
      <c r="A406" s="11" t="str">
        <f>Data!A404</f>
        <v>NISSAN LEAF 299-1018</v>
      </c>
      <c r="B406" s="11" t="str">
        <f>Data!D404</f>
        <v>Vehicle, Battery Electric Vehicle</v>
      </c>
      <c r="C406" s="12">
        <f>Data!F404</f>
        <v>46087.410864571757</v>
      </c>
      <c r="D406" s="11" t="str">
        <f>Data!G404</f>
        <v>Estado de carga genérico</v>
      </c>
      <c r="E406" s="11" t="str">
        <f>Data!J404</f>
        <v>Telematics Device</v>
      </c>
      <c r="F406" s="13">
        <f>Data!L404</f>
        <v>0</v>
      </c>
      <c r="G406" s="11" t="str">
        <f>CONCATENATE(Data!N404," ",Data!P404)</f>
        <v>63.415 %</v>
      </c>
    </row>
    <row r="407" spans="1:7" x14ac:dyDescent="0.3">
      <c r="A407" s="11" t="str">
        <f>Data!A405</f>
        <v>NISSAN LEAF 299-1018</v>
      </c>
      <c r="B407" s="11" t="str">
        <f>Data!D405</f>
        <v>Vehicle, Battery Electric Vehicle</v>
      </c>
      <c r="C407" s="12">
        <f>Data!F405</f>
        <v>46087.411086701388</v>
      </c>
      <c r="D407" s="11" t="str">
        <f>Data!G405</f>
        <v>Energía de la batería del vehículo eléctrico</v>
      </c>
      <c r="E407" s="11" t="str">
        <f>Data!J405</f>
        <v>Telematics Device</v>
      </c>
      <c r="F407" s="13">
        <f>Data!L405</f>
        <v>0</v>
      </c>
      <c r="G407" s="11" t="str">
        <f>CONCATENATE(Data!N405," ",Data!P405)</f>
        <v>25848 W</v>
      </c>
    </row>
    <row r="408" spans="1:7" x14ac:dyDescent="0.3">
      <c r="A408" s="11" t="str">
        <f>Data!A406</f>
        <v>NISSAN LEAF 299-1018</v>
      </c>
      <c r="B408" s="11" t="str">
        <f>Data!D406</f>
        <v>Vehicle, Battery Electric Vehicle</v>
      </c>
      <c r="C408" s="12">
        <f>Data!F406</f>
        <v>46087.411121689816</v>
      </c>
      <c r="D408" s="11" t="str">
        <f>Data!G406</f>
        <v>Energía de la batería del vehículo eléctrico</v>
      </c>
      <c r="E408" s="11" t="str">
        <f>Data!J406</f>
        <v>Telematics Device</v>
      </c>
      <c r="F408" s="13">
        <f>Data!L406</f>
        <v>0</v>
      </c>
      <c r="G408" s="11" t="str">
        <f>CONCATENATE(Data!N406," ",Data!P406)</f>
        <v>-4512 W</v>
      </c>
    </row>
    <row r="409" spans="1:7" x14ac:dyDescent="0.3">
      <c r="A409" s="11" t="str">
        <f>Data!A407</f>
        <v>NISSAN LEAF 299-1018</v>
      </c>
      <c r="B409" s="11" t="str">
        <f>Data!D407</f>
        <v>Vehicle, Battery Electric Vehicle</v>
      </c>
      <c r="C409" s="12">
        <f>Data!F407</f>
        <v>46087.411203020834</v>
      </c>
      <c r="D409" s="11" t="str">
        <f>Data!G407</f>
        <v>Energía de la batería del vehículo eléctrico</v>
      </c>
      <c r="E409" s="11" t="str">
        <f>Data!J407</f>
        <v>Telematics Device</v>
      </c>
      <c r="F409" s="13">
        <f>Data!L407</f>
        <v>0</v>
      </c>
      <c r="G409" s="11" t="str">
        <f>CONCATENATE(Data!N407," ",Data!P407)</f>
        <v>25060 W</v>
      </c>
    </row>
    <row r="410" spans="1:7" x14ac:dyDescent="0.3">
      <c r="A410" s="11" t="str">
        <f>Data!A408</f>
        <v>NISSAN LEAF 299-1018</v>
      </c>
      <c r="B410" s="11" t="str">
        <f>Data!D408</f>
        <v>Vehicle, Battery Electric Vehicle</v>
      </c>
      <c r="C410" s="12">
        <f>Data!F408</f>
        <v>46087.41129625</v>
      </c>
      <c r="D410" s="11" t="str">
        <f>Data!G408</f>
        <v>Energía de la batería del vehículo eléctrico</v>
      </c>
      <c r="E410" s="11" t="str">
        <f>Data!J408</f>
        <v>Telematics Device</v>
      </c>
      <c r="F410" s="13">
        <f>Data!L408</f>
        <v>0</v>
      </c>
      <c r="G410" s="11" t="str">
        <f>CONCATENATE(Data!N408," ",Data!P408)</f>
        <v>-42893 W</v>
      </c>
    </row>
    <row r="411" spans="1:7" x14ac:dyDescent="0.3">
      <c r="A411" s="11" t="str">
        <f>Data!A409</f>
        <v>NISSAN LEAF 299-1018</v>
      </c>
      <c r="B411" s="11" t="str">
        <f>Data!D409</f>
        <v>Vehicle, Battery Electric Vehicle</v>
      </c>
      <c r="C411" s="12">
        <f>Data!F409</f>
        <v>46087.411331469906</v>
      </c>
      <c r="D411" s="11" t="str">
        <f>Data!G409</f>
        <v>Energía de la batería del vehículo eléctrico</v>
      </c>
      <c r="E411" s="11" t="str">
        <f>Data!J409</f>
        <v>Telematics Device</v>
      </c>
      <c r="F411" s="13">
        <f>Data!L409</f>
        <v>0</v>
      </c>
      <c r="G411" s="11" t="str">
        <f>CONCATENATE(Data!N409," ",Data!P409)</f>
        <v>-37128 W</v>
      </c>
    </row>
    <row r="412" spans="1:7" x14ac:dyDescent="0.3">
      <c r="A412" s="11" t="str">
        <f>Data!A410</f>
        <v>NISSAN LEAF 299-1018</v>
      </c>
      <c r="B412" s="11" t="str">
        <f>Data!D410</f>
        <v>Vehicle, Battery Electric Vehicle</v>
      </c>
      <c r="C412" s="12">
        <f>Data!F410</f>
        <v>46087.411354351854</v>
      </c>
      <c r="D412" s="11" t="str">
        <f>Data!G410</f>
        <v>Energía de la batería del vehículo eléctrico</v>
      </c>
      <c r="E412" s="11" t="str">
        <f>Data!J410</f>
        <v>Telematics Device</v>
      </c>
      <c r="F412" s="13">
        <f>Data!L410</f>
        <v>0</v>
      </c>
      <c r="G412" s="11" t="str">
        <f>CONCATENATE(Data!N410," ",Data!P410)</f>
        <v>6925 W</v>
      </c>
    </row>
    <row r="413" spans="1:7" x14ac:dyDescent="0.3">
      <c r="A413" s="11" t="str">
        <f>Data!A411</f>
        <v>NISSAN LEAF 299-1018</v>
      </c>
      <c r="B413" s="11" t="str">
        <f>Data!D411</f>
        <v>Vehicle, Battery Electric Vehicle</v>
      </c>
      <c r="C413" s="12">
        <f>Data!F411</f>
        <v>46087.411970624999</v>
      </c>
      <c r="D413" s="11" t="str">
        <f>Data!G411</f>
        <v>Energía de la batería del vehículo eléctrico</v>
      </c>
      <c r="E413" s="11" t="str">
        <f>Data!J411</f>
        <v>Telematics Device</v>
      </c>
      <c r="F413" s="13">
        <f>Data!L411</f>
        <v>0</v>
      </c>
      <c r="G413" s="11" t="str">
        <f>CONCATENATE(Data!N411," ",Data!P411)</f>
        <v>11144 W</v>
      </c>
    </row>
    <row r="414" spans="1:7" x14ac:dyDescent="0.3">
      <c r="A414" s="11" t="str">
        <f>Data!A412</f>
        <v>NISSAN LEAF 299-1018</v>
      </c>
      <c r="B414" s="11" t="str">
        <f>Data!D412</f>
        <v>Vehicle, Battery Electric Vehicle</v>
      </c>
      <c r="C414" s="12">
        <f>Data!F412</f>
        <v>46087.412028668979</v>
      </c>
      <c r="D414" s="11" t="str">
        <f>Data!G412</f>
        <v>Energía de la batería del vehículo eléctrico</v>
      </c>
      <c r="E414" s="11" t="str">
        <f>Data!J412</f>
        <v>Telematics Device</v>
      </c>
      <c r="F414" s="13">
        <f>Data!L412</f>
        <v>0</v>
      </c>
      <c r="G414" s="11" t="str">
        <f>CONCATENATE(Data!N412," ",Data!P412)</f>
        <v>-42157 W</v>
      </c>
    </row>
    <row r="415" spans="1:7" x14ac:dyDescent="0.3">
      <c r="A415" s="11" t="str">
        <f>Data!A413</f>
        <v>NISSAN LEAF 299-1018</v>
      </c>
      <c r="B415" s="11" t="str">
        <f>Data!D413</f>
        <v>Vehicle, Battery Electric Vehicle</v>
      </c>
      <c r="C415" s="12">
        <f>Data!F413</f>
        <v>46087.412412291669</v>
      </c>
      <c r="D415" s="11" t="str">
        <f>Data!G413</f>
        <v>Energía de la batería del vehículo eléctrico</v>
      </c>
      <c r="E415" s="11" t="str">
        <f>Data!J413</f>
        <v>Telematics Device</v>
      </c>
      <c r="F415" s="13">
        <f>Data!L413</f>
        <v>0</v>
      </c>
      <c r="G415" s="11" t="str">
        <f>CONCATENATE(Data!N413," ",Data!P413)</f>
        <v>49560 W</v>
      </c>
    </row>
    <row r="416" spans="1:7" x14ac:dyDescent="0.3">
      <c r="A416" s="11" t="str">
        <f>Data!A414</f>
        <v>NISSAN LEAF 299-1018</v>
      </c>
      <c r="B416" s="11" t="str">
        <f>Data!D414</f>
        <v>Vehicle, Battery Electric Vehicle</v>
      </c>
      <c r="C416" s="12">
        <f>Data!F414</f>
        <v>46087.412516909724</v>
      </c>
      <c r="D416" s="11" t="str">
        <f>Data!G414</f>
        <v>Energía de la batería del vehículo eléctrico</v>
      </c>
      <c r="E416" s="11" t="str">
        <f>Data!J414</f>
        <v>Telematics Device</v>
      </c>
      <c r="F416" s="13">
        <f>Data!L414</f>
        <v>0</v>
      </c>
      <c r="G416" s="11" t="str">
        <f>CONCATENATE(Data!N414," ",Data!P414)</f>
        <v>-14698 W</v>
      </c>
    </row>
    <row r="417" spans="1:7" x14ac:dyDescent="0.3">
      <c r="A417" s="11" t="str">
        <f>Data!A415</f>
        <v>NISSAN LEAF 299-1018</v>
      </c>
      <c r="B417" s="11" t="str">
        <f>Data!D415</f>
        <v>Vehicle, Battery Electric Vehicle</v>
      </c>
      <c r="C417" s="12">
        <f>Data!F415</f>
        <v>46087.412656342596</v>
      </c>
      <c r="D417" s="11" t="str">
        <f>Data!G415</f>
        <v>Energía de la batería del vehículo eléctrico</v>
      </c>
      <c r="E417" s="11" t="str">
        <f>Data!J415</f>
        <v>Telematics Device</v>
      </c>
      <c r="F417" s="13">
        <f>Data!L415</f>
        <v>0</v>
      </c>
      <c r="G417" s="11" t="str">
        <f>CONCATENATE(Data!N415," ",Data!P415)</f>
        <v>18028 W</v>
      </c>
    </row>
    <row r="418" spans="1:7" x14ac:dyDescent="0.3">
      <c r="A418" s="11" t="str">
        <f>Data!A416</f>
        <v>NISSAN LEAF 299-1018</v>
      </c>
      <c r="B418" s="11" t="str">
        <f>Data!D416</f>
        <v>Vehicle, Battery Electric Vehicle</v>
      </c>
      <c r="C418" s="12">
        <f>Data!F416</f>
        <v>46087.412911736108</v>
      </c>
      <c r="D418" s="11" t="str">
        <f>Data!G416</f>
        <v>Energía de la batería del vehículo eléctrico</v>
      </c>
      <c r="E418" s="11" t="str">
        <f>Data!J416</f>
        <v>Telematics Device</v>
      </c>
      <c r="F418" s="13">
        <f>Data!L416</f>
        <v>0</v>
      </c>
      <c r="G418" s="11" t="str">
        <f>CONCATENATE(Data!N416," ",Data!P416)</f>
        <v>-9205 W</v>
      </c>
    </row>
    <row r="419" spans="1:7" x14ac:dyDescent="0.3">
      <c r="A419" s="11" t="str">
        <f>Data!A417</f>
        <v>NISSAN LEAF 299-1018</v>
      </c>
      <c r="B419" s="11" t="str">
        <f>Data!D417</f>
        <v>Vehicle, Battery Electric Vehicle</v>
      </c>
      <c r="C419" s="12">
        <f>Data!F417</f>
        <v>46087.412946689816</v>
      </c>
      <c r="D419" s="11" t="str">
        <f>Data!G417</f>
        <v>Energía de la batería del vehículo eléctrico</v>
      </c>
      <c r="E419" s="11" t="str">
        <f>Data!J417</f>
        <v>Telematics Device</v>
      </c>
      <c r="F419" s="13">
        <f>Data!L417</f>
        <v>0</v>
      </c>
      <c r="G419" s="11" t="str">
        <f>CONCATENATE(Data!N417," ",Data!P417)</f>
        <v>23661 W</v>
      </c>
    </row>
    <row r="420" spans="1:7" x14ac:dyDescent="0.3">
      <c r="A420" s="11" t="str">
        <f>Data!A418</f>
        <v>NISSAN LEAF 299-1018</v>
      </c>
      <c r="B420" s="11" t="str">
        <f>Data!D418</f>
        <v>Vehicle, Battery Electric Vehicle</v>
      </c>
      <c r="C420" s="12">
        <f>Data!F418</f>
        <v>46087.413062789354</v>
      </c>
      <c r="D420" s="11" t="str">
        <f>Data!G418</f>
        <v>Energía de la batería del vehículo eléctrico</v>
      </c>
      <c r="E420" s="11" t="str">
        <f>Data!J418</f>
        <v>Telematics Device</v>
      </c>
      <c r="F420" s="13">
        <f>Data!L418</f>
        <v>0</v>
      </c>
      <c r="G420" s="11" t="str">
        <f>CONCATENATE(Data!N418," ",Data!P418)</f>
        <v>12138 W</v>
      </c>
    </row>
    <row r="421" spans="1:7" x14ac:dyDescent="0.3">
      <c r="A421" s="11" t="str">
        <f>Data!A419</f>
        <v>NISSAN LEAF 299-1018</v>
      </c>
      <c r="B421" s="11" t="str">
        <f>Data!D419</f>
        <v>Vehicle, Battery Electric Vehicle</v>
      </c>
      <c r="C421" s="12">
        <f>Data!F419</f>
        <v>46087.413086030094</v>
      </c>
      <c r="D421" s="11" t="str">
        <f>Data!G419</f>
        <v>Energía de la batería del vehículo eléctrico</v>
      </c>
      <c r="E421" s="11" t="str">
        <f>Data!J419</f>
        <v>Telematics Device</v>
      </c>
      <c r="F421" s="13">
        <f>Data!L419</f>
        <v>0</v>
      </c>
      <c r="G421" s="11" t="str">
        <f>CONCATENATE(Data!N419," ",Data!P419)</f>
        <v>-24300 W</v>
      </c>
    </row>
    <row r="422" spans="1:7" x14ac:dyDescent="0.3">
      <c r="A422" s="11" t="str">
        <f>Data!A420</f>
        <v>NISSAN LEAF 299-1018</v>
      </c>
      <c r="B422" s="11" t="str">
        <f>Data!D420</f>
        <v>Vehicle, Battery Electric Vehicle</v>
      </c>
      <c r="C422" s="12">
        <f>Data!F420</f>
        <v>46087.413109131943</v>
      </c>
      <c r="D422" s="11" t="str">
        <f>Data!G420</f>
        <v>Energía de la batería del vehículo eléctrico</v>
      </c>
      <c r="E422" s="11" t="str">
        <f>Data!J420</f>
        <v>Telematics Device</v>
      </c>
      <c r="F422" s="13">
        <f>Data!L420</f>
        <v>0</v>
      </c>
      <c r="G422" s="11" t="str">
        <f>CONCATENATE(Data!N420," ",Data!P420)</f>
        <v>7200 W</v>
      </c>
    </row>
    <row r="423" spans="1:7" x14ac:dyDescent="0.3">
      <c r="A423" s="11" t="str">
        <f>Data!A421</f>
        <v>NISSAN LEAF 299-1018</v>
      </c>
      <c r="B423" s="11" t="str">
        <f>Data!D421</f>
        <v>Vehicle, Battery Electric Vehicle</v>
      </c>
      <c r="C423" s="12">
        <f>Data!F421</f>
        <v>46087.41318033565</v>
      </c>
      <c r="D423" s="11" t="str">
        <f>Data!G421</f>
        <v>Estado de carga genérico</v>
      </c>
      <c r="E423" s="11" t="str">
        <f>Data!J421</f>
        <v>Telematics Device</v>
      </c>
      <c r="F423" s="13">
        <f>Data!L421</f>
        <v>0</v>
      </c>
      <c r="G423" s="11" t="str">
        <f>CONCATENATE(Data!N421," ",Data!P421)</f>
        <v>62.315 %</v>
      </c>
    </row>
    <row r="424" spans="1:7" x14ac:dyDescent="0.3">
      <c r="A424" s="11" t="str">
        <f>Data!A422</f>
        <v>NISSAN LEAF 299-1018</v>
      </c>
      <c r="B424" s="11" t="str">
        <f>Data!D422</f>
        <v>Vehicle, Battery Electric Vehicle</v>
      </c>
      <c r="C424" s="12">
        <f>Data!F422</f>
        <v>46087.413283333335</v>
      </c>
      <c r="D424" s="11" t="str">
        <f>Data!G422</f>
        <v>Energía de la batería del vehículo eléctrico</v>
      </c>
      <c r="E424" s="11" t="str">
        <f>Data!J422</f>
        <v>Telematics Device</v>
      </c>
      <c r="F424" s="13">
        <f>Data!L422</f>
        <v>0</v>
      </c>
      <c r="G424" s="11" t="str">
        <f>CONCATENATE(Data!N422," ",Data!P422)</f>
        <v>40527 W</v>
      </c>
    </row>
    <row r="425" spans="1:7" x14ac:dyDescent="0.3">
      <c r="A425" s="11" t="str">
        <f>Data!A423</f>
        <v>NISSAN LEAF 299-1018</v>
      </c>
      <c r="B425" s="11" t="str">
        <f>Data!D423</f>
        <v>Vehicle, Battery Electric Vehicle</v>
      </c>
      <c r="C425" s="12">
        <f>Data!F423</f>
        <v>46087.413364618056</v>
      </c>
      <c r="D425" s="11" t="str">
        <f>Data!G423</f>
        <v>Energía de la batería del vehículo eléctrico</v>
      </c>
      <c r="E425" s="11" t="str">
        <f>Data!J423</f>
        <v>Telematics Device</v>
      </c>
      <c r="F425" s="13">
        <f>Data!L423</f>
        <v>0</v>
      </c>
      <c r="G425" s="11" t="str">
        <f>CONCATENATE(Data!N423," ",Data!P423)</f>
        <v>-40152 W</v>
      </c>
    </row>
    <row r="426" spans="1:7" x14ac:dyDescent="0.3">
      <c r="A426" s="11" t="str">
        <f>Data!A424</f>
        <v>NISSAN LEAF 299-1018</v>
      </c>
      <c r="B426" s="11" t="str">
        <f>Data!D424</f>
        <v>Vehicle, Battery Electric Vehicle</v>
      </c>
      <c r="C426" s="12">
        <f>Data!F424</f>
        <v>46087.413469467596</v>
      </c>
      <c r="D426" s="11" t="str">
        <f>Data!G424</f>
        <v>Energía de la batería del vehículo eléctrico</v>
      </c>
      <c r="E426" s="11" t="str">
        <f>Data!J424</f>
        <v>Telematics Device</v>
      </c>
      <c r="F426" s="13">
        <f>Data!L424</f>
        <v>0</v>
      </c>
      <c r="G426" s="11" t="str">
        <f>CONCATENATE(Data!N424," ",Data!P424)</f>
        <v>23237 W</v>
      </c>
    </row>
    <row r="427" spans="1:7" x14ac:dyDescent="0.3">
      <c r="A427" s="11" t="str">
        <f>Data!A425</f>
        <v>NISSAN LEAF 299-1018</v>
      </c>
      <c r="B427" s="11" t="str">
        <f>Data!D425</f>
        <v>Vehicle, Battery Electric Vehicle</v>
      </c>
      <c r="C427" s="12">
        <f>Data!F425</f>
        <v>46087.413550752317</v>
      </c>
      <c r="D427" s="11" t="str">
        <f>Data!G425</f>
        <v>Energía de la batería del vehículo eléctrico</v>
      </c>
      <c r="E427" s="11" t="str">
        <f>Data!J425</f>
        <v>Telematics Device</v>
      </c>
      <c r="F427" s="13">
        <f>Data!L425</f>
        <v>0</v>
      </c>
      <c r="G427" s="11" t="str">
        <f>CONCATENATE(Data!N425," ",Data!P425)</f>
        <v>-12600 W</v>
      </c>
    </row>
    <row r="428" spans="1:7" x14ac:dyDescent="0.3">
      <c r="A428" s="11" t="str">
        <f>Data!A426</f>
        <v>NISSAN LEAF 299-1018</v>
      </c>
      <c r="B428" s="11" t="str">
        <f>Data!D426</f>
        <v>Vehicle, Battery Electric Vehicle</v>
      </c>
      <c r="C428" s="12">
        <f>Data!F426</f>
        <v>46087.413690370369</v>
      </c>
      <c r="D428" s="11" t="str">
        <f>Data!G426</f>
        <v>Energía de la batería del vehículo eléctrico</v>
      </c>
      <c r="E428" s="11" t="str">
        <f>Data!J426</f>
        <v>Telematics Device</v>
      </c>
      <c r="F428" s="13">
        <f>Data!L426</f>
        <v>0</v>
      </c>
      <c r="G428" s="11" t="str">
        <f>CONCATENATE(Data!N426," ",Data!P426)</f>
        <v>27807 W</v>
      </c>
    </row>
    <row r="429" spans="1:7" x14ac:dyDescent="0.3">
      <c r="A429" s="11" t="str">
        <f>Data!A427</f>
        <v>NISSAN LEAF 299-1018</v>
      </c>
      <c r="B429" s="11" t="str">
        <f>Data!D427</f>
        <v>Vehicle, Battery Electric Vehicle</v>
      </c>
      <c r="C429" s="12">
        <f>Data!F427</f>
        <v>46087.413736886578</v>
      </c>
      <c r="D429" s="11" t="str">
        <f>Data!G427</f>
        <v>Energía de la batería del vehículo eléctrico</v>
      </c>
      <c r="E429" s="11" t="str">
        <f>Data!J427</f>
        <v>Telematics Device</v>
      </c>
      <c r="F429" s="13">
        <f>Data!L427</f>
        <v>0</v>
      </c>
      <c r="G429" s="11" t="str">
        <f>CONCATENATE(Data!N427," ",Data!P427)</f>
        <v>-21330 W</v>
      </c>
    </row>
    <row r="430" spans="1:7" x14ac:dyDescent="0.3">
      <c r="A430" s="11" t="str">
        <f>Data!A428</f>
        <v>NISSAN LEAF 299-1018</v>
      </c>
      <c r="B430" s="11" t="str">
        <f>Data!D428</f>
        <v>Vehicle, Battery Electric Vehicle</v>
      </c>
      <c r="C430" s="12">
        <f>Data!F428</f>
        <v>46087.413794942127</v>
      </c>
      <c r="D430" s="11" t="str">
        <f>Data!G428</f>
        <v>Energía de la batería del vehículo eléctrico</v>
      </c>
      <c r="E430" s="11" t="str">
        <f>Data!J428</f>
        <v>Telematics Device</v>
      </c>
      <c r="F430" s="13">
        <f>Data!L428</f>
        <v>0</v>
      </c>
      <c r="G430" s="11" t="str">
        <f>CONCATENATE(Data!N428," ",Data!P428)</f>
        <v>6094 W</v>
      </c>
    </row>
    <row r="431" spans="1:7" x14ac:dyDescent="0.3">
      <c r="A431" s="11" t="str">
        <f>Data!A429</f>
        <v>NISSAN LEAF 299-1018</v>
      </c>
      <c r="B431" s="11" t="str">
        <f>Data!D429</f>
        <v>Vehicle, Battery Electric Vehicle</v>
      </c>
      <c r="C431" s="12">
        <f>Data!F429</f>
        <v>46087.414166979164</v>
      </c>
      <c r="D431" s="11" t="str">
        <f>Data!G429</f>
        <v>Energía de la batería del vehículo eléctrico</v>
      </c>
      <c r="E431" s="11" t="str">
        <f>Data!J429</f>
        <v>Telematics Device</v>
      </c>
      <c r="F431" s="13">
        <f>Data!L429</f>
        <v>0</v>
      </c>
      <c r="G431" s="11" t="str">
        <f>CONCATENATE(Data!N429," ",Data!P429)</f>
        <v>-28119 W</v>
      </c>
    </row>
    <row r="432" spans="1:7" x14ac:dyDescent="0.3">
      <c r="A432" s="11" t="str">
        <f>Data!A430</f>
        <v>NISSAN LEAF 299-1018</v>
      </c>
      <c r="B432" s="11" t="str">
        <f>Data!D430</f>
        <v>Vehicle, Battery Electric Vehicle</v>
      </c>
      <c r="C432" s="12">
        <f>Data!F430</f>
        <v>46087.414447071758</v>
      </c>
      <c r="D432" s="11" t="str">
        <f>Data!G430</f>
        <v>Energía de la batería del vehículo eléctrico</v>
      </c>
      <c r="E432" s="11" t="str">
        <f>Data!J430</f>
        <v>Telematics Device</v>
      </c>
      <c r="F432" s="13">
        <f>Data!L430</f>
        <v>0</v>
      </c>
      <c r="G432" s="11" t="str">
        <f>CONCATENATE(Data!N430," ",Data!P430)</f>
        <v>-27816 W</v>
      </c>
    </row>
    <row r="433" spans="1:7" x14ac:dyDescent="0.3">
      <c r="A433" s="11" t="str">
        <f>Data!A431</f>
        <v>NISSAN LEAF 299-1018</v>
      </c>
      <c r="B433" s="11" t="str">
        <f>Data!D431</f>
        <v>Vehicle, Battery Electric Vehicle</v>
      </c>
      <c r="C433" s="12">
        <f>Data!F431</f>
        <v>46087.414575104165</v>
      </c>
      <c r="D433" s="11" t="str">
        <f>Data!G431</f>
        <v>Energía de la batería del vehículo eléctrico</v>
      </c>
      <c r="E433" s="11" t="str">
        <f>Data!J431</f>
        <v>Telematics Device</v>
      </c>
      <c r="F433" s="13">
        <f>Data!L431</f>
        <v>0</v>
      </c>
      <c r="G433" s="11" t="str">
        <f>CONCATENATE(Data!N431," ",Data!P431)</f>
        <v>540 W</v>
      </c>
    </row>
    <row r="434" spans="1:7" x14ac:dyDescent="0.3">
      <c r="A434" s="11" t="str">
        <f>Data!A432</f>
        <v>NISSAN LEAF 299-1018</v>
      </c>
      <c r="B434" s="11" t="str">
        <f>Data!D432</f>
        <v>Vehicle, Battery Electric Vehicle</v>
      </c>
      <c r="C434" s="12">
        <f>Data!F432</f>
        <v>46087.414586631945</v>
      </c>
      <c r="D434" s="11" t="str">
        <f>Data!G432</f>
        <v>Energía de la batería del vehículo eléctrico</v>
      </c>
      <c r="E434" s="11" t="str">
        <f>Data!J432</f>
        <v>Telematics Device</v>
      </c>
      <c r="F434" s="13">
        <f>Data!L432</f>
        <v>0</v>
      </c>
      <c r="G434" s="11" t="str">
        <f>CONCATENATE(Data!N432," ",Data!P432)</f>
        <v>31183 W</v>
      </c>
    </row>
    <row r="435" spans="1:7" x14ac:dyDescent="0.3">
      <c r="A435" s="11" t="str">
        <f>Data!A433</f>
        <v>NISSAN LEAF 299-1018</v>
      </c>
      <c r="B435" s="11" t="str">
        <f>Data!D433</f>
        <v>Vehicle, Battery Electric Vehicle</v>
      </c>
      <c r="C435" s="12">
        <f>Data!F433</f>
        <v>46087.414621539348</v>
      </c>
      <c r="D435" s="11" t="str">
        <f>Data!G433</f>
        <v>Energía de la batería del vehículo eléctrico</v>
      </c>
      <c r="E435" s="11" t="str">
        <f>Data!J433</f>
        <v>Telematics Device</v>
      </c>
      <c r="F435" s="13">
        <f>Data!L433</f>
        <v>0</v>
      </c>
      <c r="G435" s="11" t="str">
        <f>CONCATENATE(Data!N433," ",Data!P433)</f>
        <v>-24985 W</v>
      </c>
    </row>
    <row r="436" spans="1:7" x14ac:dyDescent="0.3">
      <c r="A436" s="11" t="str">
        <f>Data!A434</f>
        <v>NISSAN LEAF 299-1018</v>
      </c>
      <c r="B436" s="11" t="str">
        <f>Data!D434</f>
        <v>Vehicle, Battery Electric Vehicle</v>
      </c>
      <c r="C436" s="12">
        <f>Data!F434</f>
        <v>46087.414644687502</v>
      </c>
      <c r="D436" s="11" t="str">
        <f>Data!G434</f>
        <v>Energía de la batería del vehículo eléctrico</v>
      </c>
      <c r="E436" s="11" t="str">
        <f>Data!J434</f>
        <v>Telematics Device</v>
      </c>
      <c r="F436" s="13">
        <f>Data!L434</f>
        <v>0</v>
      </c>
      <c r="G436" s="11" t="str">
        <f>CONCATENATE(Data!N434," ",Data!P434)</f>
        <v>17400 W</v>
      </c>
    </row>
    <row r="437" spans="1:7" x14ac:dyDescent="0.3">
      <c r="A437" s="11" t="str">
        <f>Data!A435</f>
        <v>NISSAN LEAF 299-1018</v>
      </c>
      <c r="B437" s="11" t="str">
        <f>Data!D435</f>
        <v>Vehicle, Battery Electric Vehicle</v>
      </c>
      <c r="C437" s="12">
        <f>Data!F435</f>
        <v>46087.414830046298</v>
      </c>
      <c r="D437" s="11" t="str">
        <f>Data!G435</f>
        <v>Voltaje de la batería de alta tensión</v>
      </c>
      <c r="E437" s="11" t="str">
        <f>Data!J435</f>
        <v>Telematics Device</v>
      </c>
      <c r="F437" s="13">
        <f>Data!L435</f>
        <v>0</v>
      </c>
      <c r="G437" s="11" t="str">
        <f>CONCATENATE(Data!N435," ",Data!P435)</f>
        <v>355.5 V</v>
      </c>
    </row>
    <row r="438" spans="1:7" x14ac:dyDescent="0.3">
      <c r="A438" s="11" t="str">
        <f>Data!A436</f>
        <v>NISSAN LEAF 299-1018</v>
      </c>
      <c r="B438" s="11" t="str">
        <f>Data!D436</f>
        <v>Vehicle, Battery Electric Vehicle</v>
      </c>
      <c r="C438" s="12">
        <f>Data!F436</f>
        <v>46087.415214212961</v>
      </c>
      <c r="D438" s="11" t="str">
        <f>Data!G436</f>
        <v>Energía de la batería del vehículo eléctrico</v>
      </c>
      <c r="E438" s="11" t="str">
        <f>Data!J436</f>
        <v>Telematics Device</v>
      </c>
      <c r="F438" s="13">
        <f>Data!L436</f>
        <v>0</v>
      </c>
      <c r="G438" s="11" t="str">
        <f>CONCATENATE(Data!N436," ",Data!P436)</f>
        <v>28674 W</v>
      </c>
    </row>
    <row r="439" spans="1:7" x14ac:dyDescent="0.3">
      <c r="A439" s="11" t="str">
        <f>Data!A437</f>
        <v>NISSAN LEAF 299-1018</v>
      </c>
      <c r="B439" s="11" t="str">
        <f>Data!D437</f>
        <v>Vehicle, Battery Electric Vehicle</v>
      </c>
      <c r="C439" s="12">
        <f>Data!F437</f>
        <v>46087.415272303238</v>
      </c>
      <c r="D439" s="11" t="str">
        <f>Data!G437</f>
        <v>Energía de la batería del vehículo eléctrico</v>
      </c>
      <c r="E439" s="11" t="str">
        <f>Data!J437</f>
        <v>Telematics Device</v>
      </c>
      <c r="F439" s="13">
        <f>Data!L437</f>
        <v>0</v>
      </c>
      <c r="G439" s="11" t="str">
        <f>CONCATENATE(Data!N437," ",Data!P437)</f>
        <v>-2673 W</v>
      </c>
    </row>
    <row r="440" spans="1:7" x14ac:dyDescent="0.3">
      <c r="A440" s="11" t="str">
        <f>Data!A438</f>
        <v>NISSAN LEAF 299-1018</v>
      </c>
      <c r="B440" s="11" t="str">
        <f>Data!D438</f>
        <v>Vehicle, Battery Electric Vehicle</v>
      </c>
      <c r="C440" s="12">
        <f>Data!F438</f>
        <v>46087.415400115744</v>
      </c>
      <c r="D440" s="11" t="str">
        <f>Data!G438</f>
        <v>Energía de la batería del vehículo eléctrico</v>
      </c>
      <c r="E440" s="11" t="str">
        <f>Data!J438</f>
        <v>Telematics Device</v>
      </c>
      <c r="F440" s="13">
        <f>Data!L438</f>
        <v>0</v>
      </c>
      <c r="G440" s="11" t="str">
        <f>CONCATENATE(Data!N438," ",Data!P438)</f>
        <v>29069 W</v>
      </c>
    </row>
    <row r="441" spans="1:7" x14ac:dyDescent="0.3">
      <c r="A441" s="11" t="str">
        <f>Data!A439</f>
        <v>NISSAN LEAF 299-1018</v>
      </c>
      <c r="B441" s="11" t="str">
        <f>Data!D439</f>
        <v>Vehicle, Battery Electric Vehicle</v>
      </c>
      <c r="C441" s="12">
        <f>Data!F439</f>
        <v>46087.415469791667</v>
      </c>
      <c r="D441" s="11" t="str">
        <f>Data!G439</f>
        <v>Energía de la batería del vehículo eléctrico</v>
      </c>
      <c r="E441" s="11" t="str">
        <f>Data!J439</f>
        <v>Telematics Device</v>
      </c>
      <c r="F441" s="13">
        <f>Data!L439</f>
        <v>0</v>
      </c>
      <c r="G441" s="11" t="str">
        <f>CONCATENATE(Data!N439," ",Data!P439)</f>
        <v>-12351 W</v>
      </c>
    </row>
    <row r="442" spans="1:7" x14ac:dyDescent="0.3">
      <c r="A442" s="11" t="str">
        <f>Data!A440</f>
        <v>NISSAN LEAF 299-1018</v>
      </c>
      <c r="B442" s="11" t="str">
        <f>Data!D440</f>
        <v>Vehicle, Battery Electric Vehicle</v>
      </c>
      <c r="C442" s="12">
        <f>Data!F440</f>
        <v>46087.415516261572</v>
      </c>
      <c r="D442" s="11" t="str">
        <f>Data!G440</f>
        <v>Energía de la batería del vehículo eléctrico</v>
      </c>
      <c r="E442" s="11" t="str">
        <f>Data!J440</f>
        <v>Telematics Device</v>
      </c>
      <c r="F442" s="13">
        <f>Data!L440</f>
        <v>0</v>
      </c>
      <c r="G442" s="11" t="str">
        <f>CONCATENATE(Data!N440," ",Data!P440)</f>
        <v>27425 W</v>
      </c>
    </row>
    <row r="443" spans="1:7" x14ac:dyDescent="0.3">
      <c r="A443" s="11" t="str">
        <f>Data!A441</f>
        <v>NISSAN LEAF 299-1018</v>
      </c>
      <c r="B443" s="11" t="str">
        <f>Data!D441</f>
        <v>Vehicle, Battery Electric Vehicle</v>
      </c>
      <c r="C443" s="12">
        <f>Data!F441</f>
        <v>46087.415667499998</v>
      </c>
      <c r="D443" s="11" t="str">
        <f>Data!G441</f>
        <v>Energía de la batería del vehículo eléctrico</v>
      </c>
      <c r="E443" s="11" t="str">
        <f>Data!J441</f>
        <v>Telematics Device</v>
      </c>
      <c r="F443" s="13">
        <f>Data!L441</f>
        <v>0</v>
      </c>
      <c r="G443" s="11" t="str">
        <f>CONCATENATE(Data!N441," ",Data!P441)</f>
        <v>21122 W</v>
      </c>
    </row>
    <row r="444" spans="1:7" x14ac:dyDescent="0.3">
      <c r="A444" s="11" t="str">
        <f>Data!A442</f>
        <v>NISSAN LEAF 299-1018</v>
      </c>
      <c r="B444" s="11" t="str">
        <f>Data!D442</f>
        <v>Vehicle, Battery Electric Vehicle</v>
      </c>
      <c r="C444" s="12">
        <f>Data!F442</f>
        <v>46087.415714062503</v>
      </c>
      <c r="D444" s="11" t="str">
        <f>Data!G442</f>
        <v>Energía de la batería del vehículo eléctrico</v>
      </c>
      <c r="E444" s="11" t="str">
        <f>Data!J442</f>
        <v>Telematics Device</v>
      </c>
      <c r="F444" s="13">
        <f>Data!L442</f>
        <v>0</v>
      </c>
      <c r="G444" s="11" t="str">
        <f>CONCATENATE(Data!N442," ",Data!P442)</f>
        <v>-22491 W</v>
      </c>
    </row>
    <row r="445" spans="1:7" x14ac:dyDescent="0.3">
      <c r="A445" s="11" t="str">
        <f>Data!A443</f>
        <v>NISSAN LEAF 299-1018</v>
      </c>
      <c r="B445" s="11" t="str">
        <f>Data!D443</f>
        <v>Vehicle, Battery Electric Vehicle</v>
      </c>
      <c r="C445" s="12">
        <f>Data!F443</f>
        <v>46087.415730972221</v>
      </c>
      <c r="D445" s="11" t="str">
        <f>Data!G443</f>
        <v>Estado de carga genérico</v>
      </c>
      <c r="E445" s="11" t="str">
        <f>Data!J443</f>
        <v>Telematics Device</v>
      </c>
      <c r="F445" s="13">
        <f>Data!L443</f>
        <v>0</v>
      </c>
      <c r="G445" s="11" t="str">
        <f>CONCATENATE(Data!N443," ",Data!P443)</f>
        <v>61.1 %</v>
      </c>
    </row>
    <row r="446" spans="1:7" x14ac:dyDescent="0.3">
      <c r="A446" s="11" t="str">
        <f>Data!A444</f>
        <v>NISSAN LEAF 299-1018</v>
      </c>
      <c r="B446" s="11" t="str">
        <f>Data!D444</f>
        <v>Vehicle, Battery Electric Vehicle</v>
      </c>
      <c r="C446" s="12">
        <f>Data!F444</f>
        <v>46087.415911724536</v>
      </c>
      <c r="D446" s="11" t="str">
        <f>Data!G444</f>
        <v>Energía de la batería del vehículo eléctrico</v>
      </c>
      <c r="E446" s="11" t="str">
        <f>Data!J444</f>
        <v>Telematics Device</v>
      </c>
      <c r="F446" s="13">
        <f>Data!L444</f>
        <v>0</v>
      </c>
      <c r="G446" s="11" t="str">
        <f>CONCATENATE(Data!N444," ",Data!P444)</f>
        <v>10858 W</v>
      </c>
    </row>
    <row r="447" spans="1:7" x14ac:dyDescent="0.3">
      <c r="A447" s="11" t="str">
        <f>Data!A445</f>
        <v>NISSAN LEAF 299-1018</v>
      </c>
      <c r="B447" s="11" t="str">
        <f>Data!D445</f>
        <v>Vehicle, Battery Electric Vehicle</v>
      </c>
      <c r="C447" s="12">
        <f>Data!F445</f>
        <v>46087.41595829861</v>
      </c>
      <c r="D447" s="11" t="str">
        <f>Data!G445</f>
        <v>Energía de la batería del vehículo eléctrico</v>
      </c>
      <c r="E447" s="11" t="str">
        <f>Data!J445</f>
        <v>Telematics Device</v>
      </c>
      <c r="F447" s="13">
        <f>Data!L445</f>
        <v>0</v>
      </c>
      <c r="G447" s="11" t="str">
        <f>CONCATENATE(Data!N445," ",Data!P445)</f>
        <v>-21510 W</v>
      </c>
    </row>
    <row r="448" spans="1:7" x14ac:dyDescent="0.3">
      <c r="A448" s="11" t="str">
        <f>Data!A446</f>
        <v>NISSAN LEAF 299-1018</v>
      </c>
      <c r="B448" s="11" t="str">
        <f>Data!D446</f>
        <v>Vehicle, Battery Electric Vehicle</v>
      </c>
      <c r="C448" s="12">
        <f>Data!F446</f>
        <v>46087.415993287039</v>
      </c>
      <c r="D448" s="11" t="str">
        <f>Data!G446</f>
        <v>Energía de la batería del vehículo eléctrico</v>
      </c>
      <c r="E448" s="11" t="str">
        <f>Data!J446</f>
        <v>Telematics Device</v>
      </c>
      <c r="F448" s="13">
        <f>Data!L446</f>
        <v>0</v>
      </c>
      <c r="G448" s="11" t="str">
        <f>CONCATENATE(Data!N446," ",Data!P446)</f>
        <v>15886 W</v>
      </c>
    </row>
    <row r="449" spans="1:7" x14ac:dyDescent="0.3">
      <c r="A449" s="11" t="str">
        <f>Data!A447</f>
        <v>NISSAN LEAF 299-1018</v>
      </c>
      <c r="B449" s="11" t="str">
        <f>Data!D447</f>
        <v>Vehicle, Battery Electric Vehicle</v>
      </c>
      <c r="C449" s="12">
        <f>Data!F447</f>
        <v>46087.417085682871</v>
      </c>
      <c r="D449" s="11" t="str">
        <f>Data!G447</f>
        <v>Energía de la batería del vehículo eléctrico</v>
      </c>
      <c r="E449" s="11" t="str">
        <f>Data!J447</f>
        <v>Telematics Device</v>
      </c>
      <c r="F449" s="13">
        <f>Data!L447</f>
        <v>0</v>
      </c>
      <c r="G449" s="11" t="str">
        <f>CONCATENATE(Data!N447," ",Data!P447)</f>
        <v>-6186 W</v>
      </c>
    </row>
    <row r="450" spans="1:7" x14ac:dyDescent="0.3">
      <c r="A450" s="11" t="str">
        <f>Data!A448</f>
        <v>NISSAN LEAF 299-1018</v>
      </c>
      <c r="B450" s="11" t="str">
        <f>Data!D448</f>
        <v>Vehicle, Battery Electric Vehicle</v>
      </c>
      <c r="C450" s="12">
        <f>Data!F448</f>
        <v>46087.417108877315</v>
      </c>
      <c r="D450" s="11" t="str">
        <f>Data!G448</f>
        <v>Energía de la batería del vehículo eléctrico</v>
      </c>
      <c r="E450" s="11" t="str">
        <f>Data!J448</f>
        <v>Telematics Device</v>
      </c>
      <c r="F450" s="13">
        <f>Data!L448</f>
        <v>0</v>
      </c>
      <c r="G450" s="11" t="str">
        <f>CONCATENATE(Data!N448," ",Data!P448)</f>
        <v>32308 W</v>
      </c>
    </row>
    <row r="451" spans="1:7" x14ac:dyDescent="0.3">
      <c r="A451" s="11" t="str">
        <f>Data!A449</f>
        <v>NISSAN LEAF 299-1018</v>
      </c>
      <c r="B451" s="11" t="str">
        <f>Data!D449</f>
        <v>Vehicle, Battery Electric Vehicle</v>
      </c>
      <c r="C451" s="12">
        <f>Data!F449</f>
        <v>46087.417294652776</v>
      </c>
      <c r="D451" s="11" t="str">
        <f>Data!G449</f>
        <v>Energía de la batería del vehículo eléctrico</v>
      </c>
      <c r="E451" s="11" t="str">
        <f>Data!J449</f>
        <v>Telematics Device</v>
      </c>
      <c r="F451" s="13">
        <f>Data!L449</f>
        <v>0</v>
      </c>
      <c r="G451" s="11" t="str">
        <f>CONCATENATE(Data!N449," ",Data!P449)</f>
        <v>-10725 W</v>
      </c>
    </row>
    <row r="452" spans="1:7" x14ac:dyDescent="0.3">
      <c r="A452" s="11" t="str">
        <f>Data!A450</f>
        <v>NISSAN LEAF 299-1018</v>
      </c>
      <c r="B452" s="11" t="str">
        <f>Data!D450</f>
        <v>Vehicle, Battery Electric Vehicle</v>
      </c>
      <c r="C452" s="12">
        <f>Data!F450</f>
        <v>46087.417585312498</v>
      </c>
      <c r="D452" s="11" t="str">
        <f>Data!G450</f>
        <v>Energía de la batería del vehículo eléctrico</v>
      </c>
      <c r="E452" s="11" t="str">
        <f>Data!J450</f>
        <v>Telematics Device</v>
      </c>
      <c r="F452" s="13">
        <f>Data!L450</f>
        <v>0</v>
      </c>
      <c r="G452" s="11" t="str">
        <f>CONCATENATE(Data!N450," ",Data!P450)</f>
        <v>16152 W</v>
      </c>
    </row>
    <row r="453" spans="1:7" x14ac:dyDescent="0.3">
      <c r="A453" s="11" t="str">
        <f>Data!A451</f>
        <v>NISSAN LEAF 299-1018</v>
      </c>
      <c r="B453" s="11" t="str">
        <f>Data!D451</f>
        <v>Vehicle, Battery Electric Vehicle</v>
      </c>
      <c r="C453" s="12">
        <f>Data!F451</f>
        <v>46087.417597025466</v>
      </c>
      <c r="D453" s="11" t="str">
        <f>Data!G451</f>
        <v>Energía de la batería del vehículo eléctrico</v>
      </c>
      <c r="E453" s="11" t="str">
        <f>Data!J451</f>
        <v>Telematics Device</v>
      </c>
      <c r="F453" s="13">
        <f>Data!L451</f>
        <v>0</v>
      </c>
      <c r="G453" s="11" t="str">
        <f>CONCATENATE(Data!N451," ",Data!P451)</f>
        <v>-10457 W</v>
      </c>
    </row>
    <row r="454" spans="1:7" x14ac:dyDescent="0.3">
      <c r="A454" s="11" t="str">
        <f>Data!A452</f>
        <v>NISSAN LEAF 299-1018</v>
      </c>
      <c r="B454" s="11" t="str">
        <f>Data!D452</f>
        <v>Vehicle, Battery Electric Vehicle</v>
      </c>
      <c r="C454" s="12">
        <f>Data!F452</f>
        <v>46087.41787597222</v>
      </c>
      <c r="D454" s="11" t="str">
        <f>Data!G452</f>
        <v>Energía de la batería del vehículo eléctrico</v>
      </c>
      <c r="E454" s="11" t="str">
        <f>Data!J452</f>
        <v>Telematics Device</v>
      </c>
      <c r="F454" s="13">
        <f>Data!L452</f>
        <v>0</v>
      </c>
      <c r="G454" s="11" t="str">
        <f>CONCATENATE(Data!N452," ",Data!P452)</f>
        <v>-10949 W</v>
      </c>
    </row>
    <row r="455" spans="1:7" x14ac:dyDescent="0.3">
      <c r="A455" s="11" t="str">
        <f>Data!A453</f>
        <v>NISSAN LEAF 299-1018</v>
      </c>
      <c r="B455" s="11" t="str">
        <f>Data!D453</f>
        <v>Vehicle, Battery Electric Vehicle</v>
      </c>
      <c r="C455" s="12">
        <f>Data!F453</f>
        <v>46087.418038784723</v>
      </c>
      <c r="D455" s="11" t="str">
        <f>Data!G453</f>
        <v>Energía de la batería del vehículo eléctrico</v>
      </c>
      <c r="E455" s="11" t="str">
        <f>Data!J453</f>
        <v>Telematics Device</v>
      </c>
      <c r="F455" s="13">
        <f>Data!L453</f>
        <v>0</v>
      </c>
      <c r="G455" s="11" t="str">
        <f>CONCATENATE(Data!N453," ",Data!P453)</f>
        <v>43761 W</v>
      </c>
    </row>
    <row r="456" spans="1:7" x14ac:dyDescent="0.3">
      <c r="A456" s="11" t="str">
        <f>Data!A454</f>
        <v>NISSAN LEAF 299-1018</v>
      </c>
      <c r="B456" s="11" t="str">
        <f>Data!D454</f>
        <v>Vehicle, Battery Electric Vehicle</v>
      </c>
      <c r="C456" s="12">
        <f>Data!F454</f>
        <v>46087.418119895832</v>
      </c>
      <c r="D456" s="11" t="str">
        <f>Data!G454</f>
        <v>Energía de la batería del vehículo eléctrico</v>
      </c>
      <c r="E456" s="11" t="str">
        <f>Data!J454</f>
        <v>Telematics Device</v>
      </c>
      <c r="F456" s="13">
        <f>Data!L454</f>
        <v>0</v>
      </c>
      <c r="G456" s="11" t="str">
        <f>CONCATENATE(Data!N454," ",Data!P454)</f>
        <v>-12848 W</v>
      </c>
    </row>
    <row r="457" spans="1:7" x14ac:dyDescent="0.3">
      <c r="A457" s="11" t="str">
        <f>Data!A455</f>
        <v>NISSAN LEAF 299-1018</v>
      </c>
      <c r="B457" s="11" t="str">
        <f>Data!D455</f>
        <v>Vehicle, Battery Electric Vehicle</v>
      </c>
      <c r="C457" s="12">
        <f>Data!F455</f>
        <v>46087.418491759257</v>
      </c>
      <c r="D457" s="11" t="str">
        <f>Data!G455</f>
        <v>Energía de la batería del vehículo eléctrico</v>
      </c>
      <c r="E457" s="11" t="str">
        <f>Data!J455</f>
        <v>Telematics Device</v>
      </c>
      <c r="F457" s="13">
        <f>Data!L455</f>
        <v>0</v>
      </c>
      <c r="G457" s="11" t="str">
        <f>CONCATENATE(Data!N455," ",Data!P455)</f>
        <v>16422 W</v>
      </c>
    </row>
    <row r="458" spans="1:7" x14ac:dyDescent="0.3">
      <c r="A458" s="11" t="str">
        <f>Data!A456</f>
        <v>NISSAN LEAF 299-1018</v>
      </c>
      <c r="B458" s="11" t="str">
        <f>Data!D456</f>
        <v>Vehicle, Battery Electric Vehicle</v>
      </c>
      <c r="C458" s="12">
        <f>Data!F456</f>
        <v>46087.418515127312</v>
      </c>
      <c r="D458" s="11" t="str">
        <f>Data!G456</f>
        <v>Energía de la batería del vehículo eléctrico</v>
      </c>
      <c r="E458" s="11" t="str">
        <f>Data!J456</f>
        <v>Telematics Device</v>
      </c>
      <c r="F458" s="13">
        <f>Data!L456</f>
        <v>0</v>
      </c>
      <c r="G458" s="11" t="str">
        <f>CONCATENATE(Data!N456," ",Data!P456)</f>
        <v>-10858 W</v>
      </c>
    </row>
    <row r="459" spans="1:7" x14ac:dyDescent="0.3">
      <c r="A459" s="11" t="str">
        <f>Data!A457</f>
        <v>NISSAN LEAF 299-1018</v>
      </c>
      <c r="B459" s="11" t="str">
        <f>Data!D457</f>
        <v>Vehicle, Battery Electric Vehicle</v>
      </c>
      <c r="C459" s="12">
        <f>Data!F457</f>
        <v>46087.418561423612</v>
      </c>
      <c r="D459" s="11" t="str">
        <f>Data!G457</f>
        <v>Energía de la batería del vehículo eléctrico</v>
      </c>
      <c r="E459" s="11" t="str">
        <f>Data!J457</f>
        <v>Telematics Device</v>
      </c>
      <c r="F459" s="13">
        <f>Data!L457</f>
        <v>0</v>
      </c>
      <c r="G459" s="11" t="str">
        <f>CONCATENATE(Data!N457," ",Data!P457)</f>
        <v>36565 W</v>
      </c>
    </row>
    <row r="460" spans="1:7" x14ac:dyDescent="0.3">
      <c r="A460" s="11" t="str">
        <f>Data!A458</f>
        <v>NISSAN LEAF 299-1018</v>
      </c>
      <c r="B460" s="11" t="str">
        <f>Data!D458</f>
        <v>Vehicle, Battery Electric Vehicle</v>
      </c>
      <c r="C460" s="12">
        <f>Data!F458</f>
        <v>46087.418749317127</v>
      </c>
      <c r="D460" s="11" t="str">
        <f>Data!G458</f>
        <v>Estado de carga genérico</v>
      </c>
      <c r="E460" s="11" t="str">
        <f>Data!J458</f>
        <v>Telematics Device</v>
      </c>
      <c r="F460" s="13">
        <f>Data!L458</f>
        <v>0</v>
      </c>
      <c r="G460" s="11" t="str">
        <f>CONCATENATE(Data!N458," ",Data!P458)</f>
        <v>59.755 %</v>
      </c>
    </row>
    <row r="461" spans="1:7" x14ac:dyDescent="0.3">
      <c r="A461" s="11" t="str">
        <f>Data!A459</f>
        <v>NISSAN LEAF 299-1018</v>
      </c>
      <c r="B461" s="11" t="str">
        <f>Data!D459</f>
        <v>Vehicle, Battery Electric Vehicle</v>
      </c>
      <c r="C461" s="12">
        <f>Data!F459</f>
        <v>46087.41878255787</v>
      </c>
      <c r="D461" s="11" t="str">
        <f>Data!G459</f>
        <v>Energía de la batería del vehículo eléctrico</v>
      </c>
      <c r="E461" s="11" t="str">
        <f>Data!J459</f>
        <v>Telematics Device</v>
      </c>
      <c r="F461" s="13">
        <f>Data!L459</f>
        <v>0</v>
      </c>
      <c r="G461" s="11" t="str">
        <f>CONCATENATE(Data!N459," ",Data!P459)</f>
        <v>-4260 W</v>
      </c>
    </row>
    <row r="462" spans="1:7" x14ac:dyDescent="0.3">
      <c r="A462" s="11" t="str">
        <f>Data!A460</f>
        <v>NISSAN LEAF 299-1018</v>
      </c>
      <c r="B462" s="11" t="str">
        <f>Data!D460</f>
        <v>Vehicle, Battery Electric Vehicle</v>
      </c>
      <c r="C462" s="12">
        <f>Data!F460</f>
        <v>46087.419084837966</v>
      </c>
      <c r="D462" s="11" t="str">
        <f>Data!G460</f>
        <v>Energía de la batería del vehículo eléctrico</v>
      </c>
      <c r="E462" s="11" t="str">
        <f>Data!J460</f>
        <v>Telematics Device</v>
      </c>
      <c r="F462" s="13">
        <f>Data!L460</f>
        <v>0</v>
      </c>
      <c r="G462" s="11" t="str">
        <f>CONCATENATE(Data!N460," ",Data!P460)</f>
        <v>26224 W</v>
      </c>
    </row>
    <row r="463" spans="1:7" x14ac:dyDescent="0.3">
      <c r="A463" s="11" t="str">
        <f>Data!A461</f>
        <v>NISSAN LEAF 299-1018</v>
      </c>
      <c r="B463" s="11" t="str">
        <f>Data!D461</f>
        <v>Vehicle, Battery Electric Vehicle</v>
      </c>
      <c r="C463" s="12">
        <f>Data!F461</f>
        <v>46087.419107986112</v>
      </c>
      <c r="D463" s="11" t="str">
        <f>Data!G461</f>
        <v>Energía de la batería del vehículo eléctrico</v>
      </c>
      <c r="E463" s="11" t="str">
        <f>Data!J461</f>
        <v>Telematics Device</v>
      </c>
      <c r="F463" s="13">
        <f>Data!L461</f>
        <v>0</v>
      </c>
      <c r="G463" s="11" t="str">
        <f>CONCATENATE(Data!N461," ",Data!P461)</f>
        <v>-6399 W</v>
      </c>
    </row>
    <row r="464" spans="1:7" x14ac:dyDescent="0.3">
      <c r="A464" s="11" t="str">
        <f>Data!A462</f>
        <v>NISSAN LEAF 299-1018</v>
      </c>
      <c r="B464" s="11" t="str">
        <f>Data!D462</f>
        <v>Vehicle, Battery Electric Vehicle</v>
      </c>
      <c r="C464" s="12">
        <f>Data!F462</f>
        <v>46087.41914283565</v>
      </c>
      <c r="D464" s="11" t="str">
        <f>Data!G462</f>
        <v>Energía de la batería del vehículo eléctrico</v>
      </c>
      <c r="E464" s="11" t="str">
        <f>Data!J462</f>
        <v>Telematics Device</v>
      </c>
      <c r="F464" s="13">
        <f>Data!L462</f>
        <v>0</v>
      </c>
      <c r="G464" s="11" t="str">
        <f>CONCATENATE(Data!N462," ",Data!P462)</f>
        <v>36006 W</v>
      </c>
    </row>
    <row r="465" spans="1:7" x14ac:dyDescent="0.3">
      <c r="A465" s="11" t="str">
        <f>Data!A463</f>
        <v>NISSAN LEAF 299-1018</v>
      </c>
      <c r="B465" s="11" t="str">
        <f>Data!D463</f>
        <v>Vehicle, Battery Electric Vehicle</v>
      </c>
      <c r="C465" s="12">
        <f>Data!F463</f>
        <v>46087.419247500002</v>
      </c>
      <c r="D465" s="11" t="str">
        <f>Data!G463</f>
        <v>Energía de la batería del vehículo eléctrico</v>
      </c>
      <c r="E465" s="11" t="str">
        <f>Data!J463</f>
        <v>Telematics Device</v>
      </c>
      <c r="F465" s="13">
        <f>Data!L463</f>
        <v>0</v>
      </c>
      <c r="G465" s="11" t="str">
        <f>CONCATENATE(Data!N463," ",Data!P463)</f>
        <v>32900 W</v>
      </c>
    </row>
    <row r="466" spans="1:7" x14ac:dyDescent="0.3">
      <c r="A466" s="11" t="str">
        <f>Data!A464</f>
        <v>NISSAN LEAF 299-1018</v>
      </c>
      <c r="B466" s="11" t="str">
        <f>Data!D464</f>
        <v>Vehicle, Battery Electric Vehicle</v>
      </c>
      <c r="C466" s="12">
        <f>Data!F464</f>
        <v>46087.419294247688</v>
      </c>
      <c r="D466" s="11" t="str">
        <f>Data!G464</f>
        <v>Energía de la batería del vehículo eléctrico</v>
      </c>
      <c r="E466" s="11" t="str">
        <f>Data!J464</f>
        <v>Telematics Device</v>
      </c>
      <c r="F466" s="13">
        <f>Data!L464</f>
        <v>0</v>
      </c>
      <c r="G466" s="11" t="str">
        <f>CONCATENATE(Data!N464," ",Data!P464)</f>
        <v>-16530 W</v>
      </c>
    </row>
    <row r="467" spans="1:7" x14ac:dyDescent="0.3">
      <c r="A467" s="11" t="str">
        <f>Data!A465</f>
        <v>NISSAN LEAF 299-1018</v>
      </c>
      <c r="B467" s="11" t="str">
        <f>Data!D465</f>
        <v>Vehicle, Battery Electric Vehicle</v>
      </c>
      <c r="C467" s="12">
        <f>Data!F465</f>
        <v>46087.419352256948</v>
      </c>
      <c r="D467" s="11" t="str">
        <f>Data!G465</f>
        <v>Energía de la batería del vehículo eléctrico</v>
      </c>
      <c r="E467" s="11" t="str">
        <f>Data!J465</f>
        <v>Telematics Device</v>
      </c>
      <c r="F467" s="13">
        <f>Data!L465</f>
        <v>0</v>
      </c>
      <c r="G467" s="11" t="str">
        <f>CONCATENATE(Data!N465," ",Data!P465)</f>
        <v>30487 W</v>
      </c>
    </row>
    <row r="468" spans="1:7" x14ac:dyDescent="0.3">
      <c r="A468" s="11" t="str">
        <f>Data!A466</f>
        <v>NISSAN LEAF 299-1018</v>
      </c>
      <c r="B468" s="11" t="str">
        <f>Data!D466</f>
        <v>Vehicle, Battery Electric Vehicle</v>
      </c>
      <c r="C468" s="12">
        <f>Data!F466</f>
        <v>46087.419387071757</v>
      </c>
      <c r="D468" s="11" t="str">
        <f>Data!G466</f>
        <v>Energía de la batería del vehículo eléctrico</v>
      </c>
      <c r="E468" s="11" t="str">
        <f>Data!J466</f>
        <v>Telematics Device</v>
      </c>
      <c r="F468" s="13">
        <f>Data!L466</f>
        <v>0</v>
      </c>
      <c r="G468" s="11" t="str">
        <f>CONCATENATE(Data!N466," ",Data!P466)</f>
        <v>-42303 W</v>
      </c>
    </row>
    <row r="469" spans="1:7" x14ac:dyDescent="0.3">
      <c r="A469" s="11" t="str">
        <f>Data!A467</f>
        <v>NISSAN LEAF 299-1018</v>
      </c>
      <c r="B469" s="11" t="str">
        <f>Data!D467</f>
        <v>Vehicle, Battery Electric Vehicle</v>
      </c>
      <c r="C469" s="12">
        <f>Data!F467</f>
        <v>46087.419491423614</v>
      </c>
      <c r="D469" s="11" t="str">
        <f>Data!G467</f>
        <v>Energía de la batería del vehículo eléctrico</v>
      </c>
      <c r="E469" s="11" t="str">
        <f>Data!J467</f>
        <v>Telematics Device</v>
      </c>
      <c r="F469" s="13">
        <f>Data!L467</f>
        <v>0</v>
      </c>
      <c r="G469" s="11" t="str">
        <f>CONCATENATE(Data!N467," ",Data!P467)</f>
        <v>30667 W</v>
      </c>
    </row>
    <row r="470" spans="1:7" x14ac:dyDescent="0.3">
      <c r="A470" s="11" t="str">
        <f>Data!A468</f>
        <v>NISSAN LEAF 299-1018</v>
      </c>
      <c r="B470" s="11" t="str">
        <f>Data!D468</f>
        <v>Vehicle, Battery Electric Vehicle</v>
      </c>
      <c r="C470" s="12">
        <f>Data!F468</f>
        <v>46087.419514791669</v>
      </c>
      <c r="D470" s="11" t="str">
        <f>Data!G468</f>
        <v>Energía de la batería del vehículo eléctrico</v>
      </c>
      <c r="E470" s="11" t="str">
        <f>Data!J468</f>
        <v>Telematics Device</v>
      </c>
      <c r="F470" s="13">
        <f>Data!L468</f>
        <v>0</v>
      </c>
      <c r="G470" s="11" t="str">
        <f>CONCATENATE(Data!N468," ",Data!P468)</f>
        <v>-3525 W</v>
      </c>
    </row>
    <row r="471" spans="1:7" x14ac:dyDescent="0.3">
      <c r="A471" s="11" t="str">
        <f>Data!A469</f>
        <v>NISSAN LEAF 299-1018</v>
      </c>
      <c r="B471" s="11" t="str">
        <f>Data!D469</f>
        <v>Vehicle, Battery Electric Vehicle</v>
      </c>
      <c r="C471" s="12">
        <f>Data!F469</f>
        <v>46087.419759606484</v>
      </c>
      <c r="D471" s="11" t="str">
        <f>Data!G469</f>
        <v>Energía de la batería del vehículo eléctrico</v>
      </c>
      <c r="E471" s="11" t="str">
        <f>Data!J469</f>
        <v>Telematics Device</v>
      </c>
      <c r="F471" s="13">
        <f>Data!L469</f>
        <v>0</v>
      </c>
      <c r="G471" s="11" t="str">
        <f>CONCATENATE(Data!N469," ",Data!P469)</f>
        <v>27258 W</v>
      </c>
    </row>
    <row r="472" spans="1:7" x14ac:dyDescent="0.3">
      <c r="A472" s="11" t="str">
        <f>Data!A470</f>
        <v>NISSAN LEAF 299-1018</v>
      </c>
      <c r="B472" s="11" t="str">
        <f>Data!D470</f>
        <v>Vehicle, Battery Electric Vehicle</v>
      </c>
      <c r="C472" s="12">
        <f>Data!F470</f>
        <v>46087.419782893521</v>
      </c>
      <c r="D472" s="11" t="str">
        <f>Data!G470</f>
        <v>Energía de la batería del vehículo eléctrico</v>
      </c>
      <c r="E472" s="11" t="str">
        <f>Data!J470</f>
        <v>Telematics Device</v>
      </c>
      <c r="F472" s="13">
        <f>Data!L470</f>
        <v>0</v>
      </c>
      <c r="G472" s="11" t="str">
        <f>CONCATENATE(Data!N470," ",Data!P470)</f>
        <v>-5841 W</v>
      </c>
    </row>
    <row r="473" spans="1:7" x14ac:dyDescent="0.3">
      <c r="A473" s="11" t="str">
        <f>Data!A471</f>
        <v>NISSAN LEAF 299-1018</v>
      </c>
      <c r="B473" s="11" t="str">
        <f>Data!D471</f>
        <v>Vehicle, Battery Electric Vehicle</v>
      </c>
      <c r="C473" s="12">
        <f>Data!F471</f>
        <v>46087.420073553243</v>
      </c>
      <c r="D473" s="11" t="str">
        <f>Data!G471</f>
        <v>Energía de la batería del vehículo eléctrico</v>
      </c>
      <c r="E473" s="11" t="str">
        <f>Data!J471</f>
        <v>Telematics Device</v>
      </c>
      <c r="F473" s="13">
        <f>Data!L471</f>
        <v>0</v>
      </c>
      <c r="G473" s="11" t="str">
        <f>CONCATENATE(Data!N471," ",Data!P471)</f>
        <v>20738 W</v>
      </c>
    </row>
    <row r="474" spans="1:7" x14ac:dyDescent="0.3">
      <c r="A474" s="11" t="str">
        <f>Data!A472</f>
        <v>NISSAN LEAF 299-1018</v>
      </c>
      <c r="B474" s="11" t="str">
        <f>Data!D472</f>
        <v>Vehicle, Battery Electric Vehicle</v>
      </c>
      <c r="C474" s="12">
        <f>Data!F472</f>
        <v>46087.420143229167</v>
      </c>
      <c r="D474" s="11" t="str">
        <f>Data!G472</f>
        <v>Energía de la batería del vehículo eléctrico</v>
      </c>
      <c r="E474" s="11" t="str">
        <f>Data!J472</f>
        <v>Telematics Device</v>
      </c>
      <c r="F474" s="13">
        <f>Data!L472</f>
        <v>0</v>
      </c>
      <c r="G474" s="11" t="str">
        <f>CONCATENATE(Data!N472," ",Data!P472)</f>
        <v>-9612 W</v>
      </c>
    </row>
    <row r="475" spans="1:7" x14ac:dyDescent="0.3">
      <c r="A475" s="11" t="str">
        <f>Data!A473</f>
        <v>NISSAN LEAF 299-1018</v>
      </c>
      <c r="B475" s="11" t="str">
        <f>Data!D473</f>
        <v>Vehicle, Battery Electric Vehicle</v>
      </c>
      <c r="C475" s="12">
        <f>Data!F473</f>
        <v>46087.420549675924</v>
      </c>
      <c r="D475" s="11" t="str">
        <f>Data!G473</f>
        <v>Energía de la batería del vehículo eléctrico</v>
      </c>
      <c r="E475" s="11" t="str">
        <f>Data!J473</f>
        <v>Telematics Device</v>
      </c>
      <c r="F475" s="13">
        <f>Data!L473</f>
        <v>0</v>
      </c>
      <c r="G475" s="11" t="str">
        <f>CONCATENATE(Data!N473," ",Data!P473)</f>
        <v>5154 W</v>
      </c>
    </row>
    <row r="476" spans="1:7" x14ac:dyDescent="0.3">
      <c r="A476" s="11" t="str">
        <f>Data!A474</f>
        <v>NISSAN LEAF 299-1018</v>
      </c>
      <c r="B476" s="11" t="str">
        <f>Data!D474</f>
        <v>Vehicle, Battery Electric Vehicle</v>
      </c>
      <c r="C476" s="12">
        <f>Data!F474</f>
        <v>46087.420642858793</v>
      </c>
      <c r="D476" s="11" t="str">
        <f>Data!G474</f>
        <v>Energía de la batería del vehículo eléctrico</v>
      </c>
      <c r="E476" s="11" t="str">
        <f>Data!J474</f>
        <v>Telematics Device</v>
      </c>
      <c r="F476" s="13">
        <f>Data!L474</f>
        <v>0</v>
      </c>
      <c r="G476" s="11" t="str">
        <f>CONCATENATE(Data!N474," ",Data!P474)</f>
        <v>-34920 W</v>
      </c>
    </row>
    <row r="477" spans="1:7" x14ac:dyDescent="0.3">
      <c r="A477" s="11" t="str">
        <f>Data!A475</f>
        <v>NISSAN LEAF 299-1018</v>
      </c>
      <c r="B477" s="11" t="str">
        <f>Data!D475</f>
        <v>Vehicle, Battery Electric Vehicle</v>
      </c>
      <c r="C477" s="12">
        <f>Data!F475</f>
        <v>46087.420724062496</v>
      </c>
      <c r="D477" s="11" t="str">
        <f>Data!G475</f>
        <v>Energía de la batería del vehículo eléctrico</v>
      </c>
      <c r="E477" s="11" t="str">
        <f>Data!J475</f>
        <v>Telematics Device</v>
      </c>
      <c r="F477" s="13">
        <f>Data!L475</f>
        <v>0</v>
      </c>
      <c r="G477" s="11" t="str">
        <f>CONCATENATE(Data!N475," ",Data!P475)</f>
        <v>42185 W</v>
      </c>
    </row>
    <row r="478" spans="1:7" x14ac:dyDescent="0.3">
      <c r="A478" s="11" t="str">
        <f>Data!A476</f>
        <v>NISSAN LEAF 299-1018</v>
      </c>
      <c r="B478" s="11" t="str">
        <f>Data!D476</f>
        <v>Vehicle, Battery Electric Vehicle</v>
      </c>
      <c r="C478" s="12">
        <f>Data!F476</f>
        <v>46087.420834826386</v>
      </c>
      <c r="D478" s="11" t="str">
        <f>Data!G476</f>
        <v>Estado de carga genérico</v>
      </c>
      <c r="E478" s="11" t="str">
        <f>Data!J476</f>
        <v>Telematics Device</v>
      </c>
      <c r="F478" s="13">
        <f>Data!L476</f>
        <v>0</v>
      </c>
      <c r="G478" s="11" t="str">
        <f>CONCATENATE(Data!N476," ",Data!P476)</f>
        <v>58.535 %</v>
      </c>
    </row>
    <row r="479" spans="1:7" x14ac:dyDescent="0.3">
      <c r="A479" s="11" t="str">
        <f>Data!A477</f>
        <v>NISSAN LEAF 299-1018</v>
      </c>
      <c r="B479" s="11" t="str">
        <f>Data!D477</f>
        <v>Vehicle, Battery Electric Vehicle</v>
      </c>
      <c r="C479" s="12">
        <f>Data!F477</f>
        <v>46087.420921851852</v>
      </c>
      <c r="D479" s="11" t="str">
        <f>Data!G477</f>
        <v>Energía de la batería del vehículo eléctrico</v>
      </c>
      <c r="E479" s="11" t="str">
        <f>Data!J477</f>
        <v>Telematics Device</v>
      </c>
      <c r="F479" s="13">
        <f>Data!L477</f>
        <v>0</v>
      </c>
      <c r="G479" s="11" t="str">
        <f>CONCATENATE(Data!N477," ",Data!P477)</f>
        <v>37746 W</v>
      </c>
    </row>
    <row r="480" spans="1:7" x14ac:dyDescent="0.3">
      <c r="A480" s="11" t="str">
        <f>Data!A478</f>
        <v>NISSAN LEAF 299-1018</v>
      </c>
      <c r="B480" s="11" t="str">
        <f>Data!D478</f>
        <v>Vehicle, Battery Electric Vehicle</v>
      </c>
      <c r="C480" s="12">
        <f>Data!F478</f>
        <v>46087.420933611109</v>
      </c>
      <c r="D480" s="11" t="str">
        <f>Data!G478</f>
        <v>Energía de la batería del vehículo eléctrico</v>
      </c>
      <c r="E480" s="11" t="str">
        <f>Data!J478</f>
        <v>Telematics Device</v>
      </c>
      <c r="F480" s="13">
        <f>Data!L478</f>
        <v>0</v>
      </c>
      <c r="G480" s="11" t="str">
        <f>CONCATENATE(Data!N478," ",Data!P478)</f>
        <v>-12407 W</v>
      </c>
    </row>
    <row r="481" spans="1:7" x14ac:dyDescent="0.3">
      <c r="A481" s="11" t="str">
        <f>Data!A479</f>
        <v>NISSAN LEAF 299-1018</v>
      </c>
      <c r="B481" s="11" t="str">
        <f>Data!D479</f>
        <v>Vehicle, Battery Electric Vehicle</v>
      </c>
      <c r="C481" s="12">
        <f>Data!F479</f>
        <v>46087.420968379629</v>
      </c>
      <c r="D481" s="11" t="str">
        <f>Data!G479</f>
        <v>Energía de la batería del vehículo eléctrico</v>
      </c>
      <c r="E481" s="11" t="str">
        <f>Data!J479</f>
        <v>Telematics Device</v>
      </c>
      <c r="F481" s="13">
        <f>Data!L479</f>
        <v>0</v>
      </c>
      <c r="G481" s="11" t="str">
        <f>CONCATENATE(Data!N479," ",Data!P479)</f>
        <v>22592 W</v>
      </c>
    </row>
    <row r="482" spans="1:7" x14ac:dyDescent="0.3">
      <c r="A482" s="11" t="str">
        <f>Data!A480</f>
        <v>NISSAN LEAF 299-1018</v>
      </c>
      <c r="B482" s="11" t="str">
        <f>Data!D480</f>
        <v>Vehicle, Battery Electric Vehicle</v>
      </c>
      <c r="C482" s="12">
        <f>Data!F480</f>
        <v>46087.421049849538</v>
      </c>
      <c r="D482" s="11" t="str">
        <f>Data!G480</f>
        <v>Energía de la batería del vehículo eléctrico</v>
      </c>
      <c r="E482" s="11" t="str">
        <f>Data!J480</f>
        <v>Telematics Device</v>
      </c>
      <c r="F482" s="13">
        <f>Data!L480</f>
        <v>0</v>
      </c>
      <c r="G482" s="11" t="str">
        <f>CONCATENATE(Data!N480," ",Data!P480)</f>
        <v>-12282 W</v>
      </c>
    </row>
    <row r="483" spans="1:7" x14ac:dyDescent="0.3">
      <c r="A483" s="11" t="str">
        <f>Data!A481</f>
        <v>NISSAN LEAF 299-1018</v>
      </c>
      <c r="B483" s="11" t="str">
        <f>Data!D481</f>
        <v>Vehicle, Battery Electric Vehicle</v>
      </c>
      <c r="C483" s="12">
        <f>Data!F481</f>
        <v>46087.421399108796</v>
      </c>
      <c r="D483" s="11" t="str">
        <f>Data!G481</f>
        <v>Energía de la batería del vehículo eléctrico</v>
      </c>
      <c r="E483" s="11" t="str">
        <f>Data!J481</f>
        <v>Telematics Device</v>
      </c>
      <c r="F483" s="13">
        <f>Data!L481</f>
        <v>0</v>
      </c>
      <c r="G483" s="11" t="str">
        <f>CONCATENATE(Data!N481," ",Data!P481)</f>
        <v>31150 W</v>
      </c>
    </row>
    <row r="484" spans="1:7" x14ac:dyDescent="0.3">
      <c r="A484" s="11" t="str">
        <f>Data!A482</f>
        <v>NISSAN LEAF 299-1018</v>
      </c>
      <c r="B484" s="11" t="str">
        <f>Data!D482</f>
        <v>Vehicle, Battery Electric Vehicle</v>
      </c>
      <c r="C484" s="12">
        <f>Data!F482</f>
        <v>46087.42141077546</v>
      </c>
      <c r="D484" s="11" t="str">
        <f>Data!G482</f>
        <v>Energía de la batería del vehículo eléctrico</v>
      </c>
      <c r="E484" s="11" t="str">
        <f>Data!J482</f>
        <v>Telematics Device</v>
      </c>
      <c r="F484" s="13">
        <f>Data!L482</f>
        <v>0</v>
      </c>
      <c r="G484" s="11" t="str">
        <f>CONCATENATE(Data!N482," ",Data!P482)</f>
        <v>-13455 W</v>
      </c>
    </row>
    <row r="485" spans="1:7" x14ac:dyDescent="0.3">
      <c r="A485" s="11" t="str">
        <f>Data!A483</f>
        <v>NISSAN LEAF 299-1018</v>
      </c>
      <c r="B485" s="11" t="str">
        <f>Data!D483</f>
        <v>Vehicle, Battery Electric Vehicle</v>
      </c>
      <c r="C485" s="12">
        <f>Data!F483</f>
        <v>46087.421713414355</v>
      </c>
      <c r="D485" s="11" t="str">
        <f>Data!G483</f>
        <v>Energía de la batería del vehículo eléctrico</v>
      </c>
      <c r="E485" s="11" t="str">
        <f>Data!J483</f>
        <v>Telematics Device</v>
      </c>
      <c r="F485" s="13">
        <f>Data!L483</f>
        <v>0</v>
      </c>
      <c r="G485" s="11" t="str">
        <f>CONCATENATE(Data!N483," ",Data!P483)</f>
        <v>-5841 W</v>
      </c>
    </row>
    <row r="486" spans="1:7" x14ac:dyDescent="0.3">
      <c r="A486" s="11" t="str">
        <f>Data!A484</f>
        <v>NISSAN LEAF 299-1018</v>
      </c>
      <c r="B486" s="11" t="str">
        <f>Data!D484</f>
        <v>Vehicle, Battery Electric Vehicle</v>
      </c>
      <c r="C486" s="12">
        <f>Data!F484</f>
        <v>46087.421771597219</v>
      </c>
      <c r="D486" s="11" t="str">
        <f>Data!G484</f>
        <v>Energía de la batería del vehículo eléctrico</v>
      </c>
      <c r="E486" s="11" t="str">
        <f>Data!J484</f>
        <v>Telematics Device</v>
      </c>
      <c r="F486" s="13">
        <f>Data!L484</f>
        <v>0</v>
      </c>
      <c r="G486" s="11" t="str">
        <f>CONCATENATE(Data!N484," ",Data!P484)</f>
        <v>48300 W</v>
      </c>
    </row>
    <row r="487" spans="1:7" x14ac:dyDescent="0.3">
      <c r="A487" s="11" t="str">
        <f>Data!A485</f>
        <v>NISSAN LEAF 299-1018</v>
      </c>
      <c r="B487" s="11" t="str">
        <f>Data!D485</f>
        <v>Vehicle, Battery Electric Vehicle</v>
      </c>
      <c r="C487" s="12">
        <f>Data!F485</f>
        <v>46087.421806736114</v>
      </c>
      <c r="D487" s="11" t="str">
        <f>Data!G485</f>
        <v>Energía de la batería del vehículo eléctrico</v>
      </c>
      <c r="E487" s="11" t="str">
        <f>Data!J485</f>
        <v>Telematics Device</v>
      </c>
      <c r="F487" s="13">
        <f>Data!L485</f>
        <v>0</v>
      </c>
      <c r="G487" s="11" t="str">
        <f>CONCATENATE(Data!N485," ",Data!P485)</f>
        <v>35947 W</v>
      </c>
    </row>
    <row r="488" spans="1:7" x14ac:dyDescent="0.3">
      <c r="A488" s="11" t="str">
        <f>Data!A486</f>
        <v>NISSAN LEAF 299-1018</v>
      </c>
      <c r="B488" s="11" t="str">
        <f>Data!D486</f>
        <v>Vehicle, Battery Electric Vehicle</v>
      </c>
      <c r="C488" s="12">
        <f>Data!F486</f>
        <v>46087.421818171293</v>
      </c>
      <c r="D488" s="11" t="str">
        <f>Data!G486</f>
        <v>Energía de la batería del vehículo eléctrico</v>
      </c>
      <c r="E488" s="11" t="str">
        <f>Data!J486</f>
        <v>Telematics Device</v>
      </c>
      <c r="F488" s="13">
        <f>Data!L486</f>
        <v>0</v>
      </c>
      <c r="G488" s="11" t="str">
        <f>CONCATENATE(Data!N486," ",Data!P486)</f>
        <v>-10310 W</v>
      </c>
    </row>
    <row r="489" spans="1:7" x14ac:dyDescent="0.3">
      <c r="A489" s="11" t="str">
        <f>Data!A487</f>
        <v>NISSAN LEAF 299-1018</v>
      </c>
      <c r="B489" s="11" t="str">
        <f>Data!D487</f>
        <v>Vehicle, Battery Electric Vehicle</v>
      </c>
      <c r="C489" s="12">
        <f>Data!F487</f>
        <v>46087.421969583331</v>
      </c>
      <c r="D489" s="11" t="str">
        <f>Data!G487</f>
        <v>Energía de la batería del vehículo eléctrico</v>
      </c>
      <c r="E489" s="11" t="str">
        <f>Data!J487</f>
        <v>Telematics Device</v>
      </c>
      <c r="F489" s="13">
        <f>Data!L487</f>
        <v>0</v>
      </c>
      <c r="G489" s="11" t="str">
        <f>CONCATENATE(Data!N487," ",Data!P487)</f>
        <v>-13209 W</v>
      </c>
    </row>
    <row r="490" spans="1:7" x14ac:dyDescent="0.3">
      <c r="A490" s="11" t="str">
        <f>Data!A488</f>
        <v>NISSAN LEAF 299-1018</v>
      </c>
      <c r="B490" s="11" t="str">
        <f>Data!D488</f>
        <v>Vehicle, Battery Electric Vehicle</v>
      </c>
      <c r="C490" s="12">
        <f>Data!F488</f>
        <v>46087.42209753472</v>
      </c>
      <c r="D490" s="11" t="str">
        <f>Data!G488</f>
        <v>Energía de la batería del vehículo eléctrico</v>
      </c>
      <c r="E490" s="11" t="str">
        <f>Data!J488</f>
        <v>Telematics Device</v>
      </c>
      <c r="F490" s="13">
        <f>Data!L488</f>
        <v>0</v>
      </c>
      <c r="G490" s="11" t="str">
        <f>CONCATENATE(Data!N488," ",Data!P488)</f>
        <v>27378 W</v>
      </c>
    </row>
    <row r="491" spans="1:7" x14ac:dyDescent="0.3">
      <c r="A491" s="11" t="str">
        <f>Data!A489</f>
        <v>NISSAN LEAF 299-1018</v>
      </c>
      <c r="B491" s="11" t="str">
        <f>Data!D489</f>
        <v>Vehicle, Battery Electric Vehicle</v>
      </c>
      <c r="C491" s="12">
        <f>Data!F489</f>
        <v>46087.422178865738</v>
      </c>
      <c r="D491" s="11" t="str">
        <f>Data!G489</f>
        <v>Energía de la batería del vehículo eléctrico</v>
      </c>
      <c r="E491" s="11" t="str">
        <f>Data!J489</f>
        <v>Telematics Device</v>
      </c>
      <c r="F491" s="13">
        <f>Data!L489</f>
        <v>0</v>
      </c>
      <c r="G491" s="11" t="str">
        <f>CONCATENATE(Data!N489," ",Data!P489)</f>
        <v>-12620 W</v>
      </c>
    </row>
    <row r="492" spans="1:7" x14ac:dyDescent="0.3">
      <c r="A492" s="11" t="str">
        <f>Data!A490</f>
        <v>NISSAN LEAF 299-1018</v>
      </c>
      <c r="B492" s="11" t="str">
        <f>Data!D490</f>
        <v>Vehicle, Battery Electric Vehicle</v>
      </c>
      <c r="C492" s="12">
        <f>Data!F490</f>
        <v>46087.422423055556</v>
      </c>
      <c r="D492" s="11" t="str">
        <f>Data!G490</f>
        <v>Energía de la batería del vehículo eléctrico</v>
      </c>
      <c r="E492" s="11" t="str">
        <f>Data!J490</f>
        <v>Telematics Device</v>
      </c>
      <c r="F492" s="13">
        <f>Data!L490</f>
        <v>0</v>
      </c>
      <c r="G492" s="11" t="str">
        <f>CONCATENATE(Data!N490," ",Data!P490)</f>
        <v>18079 W</v>
      </c>
    </row>
    <row r="493" spans="1:7" x14ac:dyDescent="0.3">
      <c r="A493" s="11" t="str">
        <f>Data!A491</f>
        <v>NISSAN LEAF 299-1018</v>
      </c>
      <c r="B493" s="11" t="str">
        <f>Data!D491</f>
        <v>Vehicle, Battery Electric Vehicle</v>
      </c>
      <c r="C493" s="12">
        <f>Data!F491</f>
        <v>46087.422458726855</v>
      </c>
      <c r="D493" s="11" t="str">
        <f>Data!G491</f>
        <v>Estado de carga genérico</v>
      </c>
      <c r="E493" s="11" t="str">
        <f>Data!J491</f>
        <v>Telematics Device</v>
      </c>
      <c r="F493" s="13">
        <f>Data!L491</f>
        <v>0</v>
      </c>
      <c r="G493" s="11" t="str">
        <f>CONCATENATE(Data!N491," ",Data!P491)</f>
        <v>57.44 %</v>
      </c>
    </row>
    <row r="494" spans="1:7" x14ac:dyDescent="0.3">
      <c r="A494" s="11" t="str">
        <f>Data!A492</f>
        <v>NISSAN LEAF 299-1018</v>
      </c>
      <c r="B494" s="11" t="str">
        <f>Data!D492</f>
        <v>Vehicle, Battery Electric Vehicle</v>
      </c>
      <c r="C494" s="12">
        <f>Data!F492</f>
        <v>46087.422620578705</v>
      </c>
      <c r="D494" s="11" t="str">
        <f>Data!G492</f>
        <v>Energía de la batería del vehículo eléctrico</v>
      </c>
      <c r="E494" s="11" t="str">
        <f>Data!J492</f>
        <v>Telematics Device</v>
      </c>
      <c r="F494" s="13">
        <f>Data!L492</f>
        <v>0</v>
      </c>
      <c r="G494" s="11" t="str">
        <f>CONCATENATE(Data!N492," ",Data!P492)</f>
        <v>-12087 W</v>
      </c>
    </row>
    <row r="495" spans="1:7" x14ac:dyDescent="0.3">
      <c r="A495" s="11" t="str">
        <f>Data!A493</f>
        <v>NISSAN LEAF 299-1018</v>
      </c>
      <c r="B495" s="11" t="str">
        <f>Data!D493</f>
        <v>Vehicle, Battery Electric Vehicle</v>
      </c>
      <c r="C495" s="12">
        <f>Data!F493</f>
        <v>46087.422690335647</v>
      </c>
      <c r="D495" s="11" t="str">
        <f>Data!G493</f>
        <v>Energía de la batería del vehículo eléctrico</v>
      </c>
      <c r="E495" s="11" t="str">
        <f>Data!J493</f>
        <v>Telematics Device</v>
      </c>
      <c r="F495" s="13">
        <f>Data!L493</f>
        <v>0</v>
      </c>
      <c r="G495" s="11" t="str">
        <f>CONCATENATE(Data!N493," ",Data!P493)</f>
        <v>33759 W</v>
      </c>
    </row>
    <row r="496" spans="1:7" x14ac:dyDescent="0.3">
      <c r="A496" s="11" t="str">
        <f>Data!A494</f>
        <v>NISSAN LEAF 299-1018</v>
      </c>
      <c r="B496" s="11" t="str">
        <f>Data!D494</f>
        <v>Vehicle, Battery Electric Vehicle</v>
      </c>
      <c r="C496" s="12">
        <f>Data!F494</f>
        <v>46087.423038831017</v>
      </c>
      <c r="D496" s="11" t="str">
        <f>Data!G494</f>
        <v>Energía de la batería del vehículo eléctrico</v>
      </c>
      <c r="E496" s="11" t="str">
        <f>Data!J494</f>
        <v>Telematics Device</v>
      </c>
      <c r="F496" s="13">
        <f>Data!L494</f>
        <v>0</v>
      </c>
      <c r="G496" s="11" t="str">
        <f>CONCATENATE(Data!N494," ",Data!P494)</f>
        <v>27222 W</v>
      </c>
    </row>
    <row r="497" spans="1:7" x14ac:dyDescent="0.3">
      <c r="A497" s="11" t="str">
        <f>Data!A495</f>
        <v>NISSAN LEAF 299-1018</v>
      </c>
      <c r="B497" s="11" t="str">
        <f>Data!D495</f>
        <v>Vehicle, Battery Electric Vehicle</v>
      </c>
      <c r="C497" s="12">
        <f>Data!F495</f>
        <v>46087.423062152775</v>
      </c>
      <c r="D497" s="11" t="str">
        <f>Data!G495</f>
        <v>Energía de la batería del vehículo eléctrico</v>
      </c>
      <c r="E497" s="11" t="str">
        <f>Data!J495</f>
        <v>Telematics Device</v>
      </c>
      <c r="F497" s="13">
        <f>Data!L495</f>
        <v>0</v>
      </c>
      <c r="G497" s="11" t="str">
        <f>CONCATENATE(Data!N495," ",Data!P495)</f>
        <v>-9165 W</v>
      </c>
    </row>
    <row r="498" spans="1:7" x14ac:dyDescent="0.3">
      <c r="A498" s="11" t="str">
        <f>Data!A496</f>
        <v>NISSAN LEAF 299-1018</v>
      </c>
      <c r="B498" s="11" t="str">
        <f>Data!D496</f>
        <v>Vehicle, Battery Electric Vehicle</v>
      </c>
      <c r="C498" s="12">
        <f>Data!F496</f>
        <v>46087.423131875003</v>
      </c>
      <c r="D498" s="11" t="str">
        <f>Data!G496</f>
        <v>Energía de la batería del vehículo eléctrico</v>
      </c>
      <c r="E498" s="11" t="str">
        <f>Data!J496</f>
        <v>Telematics Device</v>
      </c>
      <c r="F498" s="13">
        <f>Data!L496</f>
        <v>0</v>
      </c>
      <c r="G498" s="11" t="str">
        <f>CONCATENATE(Data!N496," ",Data!P496)</f>
        <v>10560 W</v>
      </c>
    </row>
    <row r="499" spans="1:7" x14ac:dyDescent="0.3">
      <c r="A499" s="11" t="str">
        <f>Data!A497</f>
        <v>NISSAN LEAF 299-1018</v>
      </c>
      <c r="B499" s="11" t="str">
        <f>Data!D497</f>
        <v>Vehicle, Battery Electric Vehicle</v>
      </c>
      <c r="C499" s="12">
        <f>Data!F497</f>
        <v>46087.423294363427</v>
      </c>
      <c r="D499" s="11" t="str">
        <f>Data!G497</f>
        <v>Energía de la batería del vehículo eléctrico</v>
      </c>
      <c r="E499" s="11" t="str">
        <f>Data!J497</f>
        <v>Telematics Device</v>
      </c>
      <c r="F499" s="13">
        <f>Data!L497</f>
        <v>0</v>
      </c>
      <c r="G499" s="11" t="str">
        <f>CONCATENATE(Data!N497," ",Data!P497)</f>
        <v>-42186 W</v>
      </c>
    </row>
    <row r="500" spans="1:7" x14ac:dyDescent="0.3">
      <c r="A500" s="11" t="str">
        <f>Data!A498</f>
        <v>NISSAN LEAF 299-1018</v>
      </c>
      <c r="B500" s="11" t="str">
        <f>Data!D498</f>
        <v>Vehicle, Battery Electric Vehicle</v>
      </c>
      <c r="C500" s="12">
        <f>Data!F498</f>
        <v>46087.423561469906</v>
      </c>
      <c r="D500" s="11" t="str">
        <f>Data!G498</f>
        <v>Energía de la batería del vehículo eléctrico</v>
      </c>
      <c r="E500" s="11" t="str">
        <f>Data!J498</f>
        <v>Telematics Device</v>
      </c>
      <c r="F500" s="13">
        <f>Data!L498</f>
        <v>0</v>
      </c>
      <c r="G500" s="11" t="str">
        <f>CONCATENATE(Data!N498," ",Data!P498)</f>
        <v>14514 W</v>
      </c>
    </row>
    <row r="501" spans="1:7" x14ac:dyDescent="0.3">
      <c r="A501" s="11" t="str">
        <f>Data!A499</f>
        <v>NISSAN LEAF 299-1018</v>
      </c>
      <c r="B501" s="11" t="str">
        <f>Data!D499</f>
        <v>Vehicle, Battery Electric Vehicle</v>
      </c>
      <c r="C501" s="12">
        <f>Data!F499</f>
        <v>46087.423654699072</v>
      </c>
      <c r="D501" s="11" t="str">
        <f>Data!G499</f>
        <v>Energía de la batería del vehículo eléctrico</v>
      </c>
      <c r="E501" s="11" t="str">
        <f>Data!J499</f>
        <v>Telematics Device</v>
      </c>
      <c r="F501" s="13">
        <f>Data!L499</f>
        <v>0</v>
      </c>
      <c r="G501" s="11" t="str">
        <f>CONCATENATE(Data!N499," ",Data!P499)</f>
        <v>-29893 W</v>
      </c>
    </row>
    <row r="502" spans="1:7" x14ac:dyDescent="0.3">
      <c r="A502" s="11" t="str">
        <f>Data!A500</f>
        <v>NISSAN LEAF 299-1018</v>
      </c>
      <c r="B502" s="11" t="str">
        <f>Data!D500</f>
        <v>Vehicle, Battery Electric Vehicle</v>
      </c>
      <c r="C502" s="12">
        <f>Data!F500</f>
        <v>46087.423980266205</v>
      </c>
      <c r="D502" s="11" t="str">
        <f>Data!G500</f>
        <v>Energía de la batería del vehículo eléctrico</v>
      </c>
      <c r="E502" s="11" t="str">
        <f>Data!J500</f>
        <v>Telematics Device</v>
      </c>
      <c r="F502" s="13">
        <f>Data!L500</f>
        <v>0</v>
      </c>
      <c r="G502" s="11" t="str">
        <f>CONCATENATE(Data!N500," ",Data!P500)</f>
        <v>-7298 W</v>
      </c>
    </row>
    <row r="503" spans="1:7" x14ac:dyDescent="0.3">
      <c r="A503" s="11" t="str">
        <f>Data!A501</f>
        <v>NISSAN LEAF 299-1018</v>
      </c>
      <c r="B503" s="11" t="str">
        <f>Data!D501</f>
        <v>Vehicle, Battery Electric Vehicle</v>
      </c>
      <c r="C503" s="12">
        <f>Data!F501</f>
        <v>46087.424061597223</v>
      </c>
      <c r="D503" s="11" t="str">
        <f>Data!G501</f>
        <v>Energía de la batería del vehículo eléctrico</v>
      </c>
      <c r="E503" s="11" t="str">
        <f>Data!J501</f>
        <v>Telematics Device</v>
      </c>
      <c r="F503" s="13">
        <f>Data!L501</f>
        <v>0</v>
      </c>
      <c r="G503" s="11" t="str">
        <f>CONCATENATE(Data!N501," ",Data!P501)</f>
        <v>32214 W</v>
      </c>
    </row>
    <row r="504" spans="1:7" x14ac:dyDescent="0.3">
      <c r="A504" s="11" t="str">
        <f>Data!A502</f>
        <v>NISSAN LEAF 299-1018</v>
      </c>
      <c r="B504" s="11" t="str">
        <f>Data!D502</f>
        <v>Vehicle, Battery Electric Vehicle</v>
      </c>
      <c r="C504" s="12">
        <f>Data!F502</f>
        <v>46087.424154502318</v>
      </c>
      <c r="D504" s="11" t="str">
        <f>Data!G502</f>
        <v>Energía de la batería del vehículo eléctrico</v>
      </c>
      <c r="E504" s="11" t="str">
        <f>Data!J502</f>
        <v>Telematics Device</v>
      </c>
      <c r="F504" s="13">
        <f>Data!L502</f>
        <v>0</v>
      </c>
      <c r="G504" s="11" t="str">
        <f>CONCATENATE(Data!N502," ",Data!P502)</f>
        <v>-6372 W</v>
      </c>
    </row>
    <row r="505" spans="1:7" x14ac:dyDescent="0.3">
      <c r="A505" s="11" t="str">
        <f>Data!A503</f>
        <v>NISSAN LEAF 299-1018</v>
      </c>
      <c r="B505" s="11" t="str">
        <f>Data!D503</f>
        <v>Vehicle, Battery Electric Vehicle</v>
      </c>
      <c r="C505" s="12">
        <f>Data!F503</f>
        <v>46087.424619687503</v>
      </c>
      <c r="D505" s="11" t="str">
        <f>Data!G503</f>
        <v>Energía de la batería del vehículo eléctrico</v>
      </c>
      <c r="E505" s="11" t="str">
        <f>Data!J503</f>
        <v>Telematics Device</v>
      </c>
      <c r="F505" s="13">
        <f>Data!L503</f>
        <v>0</v>
      </c>
      <c r="G505" s="11" t="str">
        <f>CONCATENATE(Data!N503," ",Data!P503)</f>
        <v>23834 W</v>
      </c>
    </row>
    <row r="506" spans="1:7" x14ac:dyDescent="0.3">
      <c r="A506" s="11" t="str">
        <f>Data!A504</f>
        <v>NISSAN LEAF 299-1018</v>
      </c>
      <c r="B506" s="11" t="str">
        <f>Data!D504</f>
        <v>Vehicle, Battery Electric Vehicle</v>
      </c>
      <c r="C506" s="12">
        <f>Data!F504</f>
        <v>46087.424654675924</v>
      </c>
      <c r="D506" s="11" t="str">
        <f>Data!G504</f>
        <v>Energía de la batería del vehículo eléctrico</v>
      </c>
      <c r="E506" s="11" t="str">
        <f>Data!J504</f>
        <v>Telematics Device</v>
      </c>
      <c r="F506" s="13">
        <f>Data!L504</f>
        <v>0</v>
      </c>
      <c r="G506" s="11" t="str">
        <f>CONCATENATE(Data!N504," ",Data!P504)</f>
        <v>-6327 W</v>
      </c>
    </row>
    <row r="507" spans="1:7" x14ac:dyDescent="0.3">
      <c r="A507" s="11" t="str">
        <f>Data!A505</f>
        <v>NISSAN LEAF 299-1018</v>
      </c>
      <c r="B507" s="11" t="str">
        <f>Data!D505</f>
        <v>Vehicle, Battery Electric Vehicle</v>
      </c>
      <c r="C507" s="12">
        <f>Data!F505</f>
        <v>46087.425108009258</v>
      </c>
      <c r="D507" s="11" t="str">
        <f>Data!G505</f>
        <v>Energía de la batería del vehículo eléctrico</v>
      </c>
      <c r="E507" s="11" t="str">
        <f>Data!J505</f>
        <v>Telematics Device</v>
      </c>
      <c r="F507" s="13">
        <f>Data!L505</f>
        <v>0</v>
      </c>
      <c r="G507" s="11" t="str">
        <f>CONCATENATE(Data!N505," ",Data!P505)</f>
        <v>21326 W</v>
      </c>
    </row>
    <row r="508" spans="1:7" x14ac:dyDescent="0.3">
      <c r="A508" s="11" t="str">
        <f>Data!A506</f>
        <v>NISSAN LEAF 299-1018</v>
      </c>
      <c r="B508" s="11" t="str">
        <f>Data!D506</f>
        <v>Vehicle, Battery Electric Vehicle</v>
      </c>
      <c r="C508" s="12">
        <f>Data!F506</f>
        <v>46087.425247939813</v>
      </c>
      <c r="D508" s="11" t="str">
        <f>Data!G506</f>
        <v>Estado de carga genérico</v>
      </c>
      <c r="E508" s="11" t="str">
        <f>Data!J506</f>
        <v>Telematics Device</v>
      </c>
      <c r="F508" s="13">
        <f>Data!L506</f>
        <v>0</v>
      </c>
      <c r="G508" s="11" t="str">
        <f>CONCATENATE(Data!N506," ",Data!P506)</f>
        <v>56.34 %</v>
      </c>
    </row>
    <row r="509" spans="1:7" x14ac:dyDescent="0.3">
      <c r="A509" s="11" t="str">
        <f>Data!A507</f>
        <v>NISSAN LEAF 299-1018</v>
      </c>
      <c r="B509" s="11" t="str">
        <f>Data!D507</f>
        <v>Vehicle, Battery Electric Vehicle</v>
      </c>
      <c r="C509" s="12">
        <f>Data!F507</f>
        <v>46087.425282118056</v>
      </c>
      <c r="D509" s="11" t="str">
        <f>Data!G507</f>
        <v>Energía de la batería del vehículo eléctrico</v>
      </c>
      <c r="E509" s="11" t="str">
        <f>Data!J507</f>
        <v>Telematics Device</v>
      </c>
      <c r="F509" s="13">
        <f>Data!L507</f>
        <v>0</v>
      </c>
      <c r="G509" s="11" t="str">
        <f>CONCATENATE(Data!N507," ",Data!P507)</f>
        <v>-11182 W</v>
      </c>
    </row>
    <row r="510" spans="1:7" x14ac:dyDescent="0.3">
      <c r="A510" s="11" t="str">
        <f>Data!A508</f>
        <v>NISSAN LEAF 299-1018</v>
      </c>
      <c r="B510" s="11" t="str">
        <f>Data!D508</f>
        <v>Vehicle, Battery Electric Vehicle</v>
      </c>
      <c r="C510" s="12">
        <f>Data!F508</f>
        <v>46087.425538009258</v>
      </c>
      <c r="D510" s="11" t="str">
        <f>Data!G508</f>
        <v>Energía de la batería del vehículo eléctrico</v>
      </c>
      <c r="E510" s="11" t="str">
        <f>Data!J508</f>
        <v>Telematics Device</v>
      </c>
      <c r="F510" s="13">
        <f>Data!L508</f>
        <v>0</v>
      </c>
      <c r="G510" s="11" t="str">
        <f>CONCATENATE(Data!N508," ",Data!P508)</f>
        <v>38675 W</v>
      </c>
    </row>
    <row r="511" spans="1:7" x14ac:dyDescent="0.3">
      <c r="A511" s="11" t="str">
        <f>Data!A509</f>
        <v>NISSAN LEAF 299-1018</v>
      </c>
      <c r="B511" s="11" t="str">
        <f>Data!D509</f>
        <v>Vehicle, Battery Electric Vehicle</v>
      </c>
      <c r="C511" s="12">
        <f>Data!F509</f>
        <v>46087.425700821761</v>
      </c>
      <c r="D511" s="11" t="str">
        <f>Data!G509</f>
        <v>Energía de la batería del vehículo eléctrico</v>
      </c>
      <c r="E511" s="11" t="str">
        <f>Data!J509</f>
        <v>Telematics Device</v>
      </c>
      <c r="F511" s="13">
        <f>Data!L509</f>
        <v>0</v>
      </c>
      <c r="G511" s="11" t="str">
        <f>CONCATENATE(Data!N509," ",Data!P509)</f>
        <v>30363 W</v>
      </c>
    </row>
    <row r="512" spans="1:7" x14ac:dyDescent="0.3">
      <c r="A512" s="11" t="str">
        <f>Data!A510</f>
        <v>NISSAN LEAF 299-1018</v>
      </c>
      <c r="B512" s="11" t="str">
        <f>Data!D510</f>
        <v>Vehicle, Battery Electric Vehicle</v>
      </c>
      <c r="C512" s="12">
        <f>Data!F510</f>
        <v>46087.425724016204</v>
      </c>
      <c r="D512" s="11" t="str">
        <f>Data!G510</f>
        <v>Energía de la batería del vehículo eléctrico</v>
      </c>
      <c r="E512" s="11" t="str">
        <f>Data!J510</f>
        <v>Telematics Device</v>
      </c>
      <c r="F512" s="13">
        <f>Data!L510</f>
        <v>0</v>
      </c>
      <c r="G512" s="11" t="str">
        <f>CONCATENATE(Data!N510," ",Data!P510)</f>
        <v>-9248 W</v>
      </c>
    </row>
    <row r="513" spans="1:7" x14ac:dyDescent="0.3">
      <c r="A513" s="11" t="str">
        <f>Data!A511</f>
        <v>NISSAN LEAF 299-1018</v>
      </c>
      <c r="B513" s="11" t="str">
        <f>Data!D511</f>
        <v>Vehicle, Battery Electric Vehicle</v>
      </c>
      <c r="C513" s="12">
        <f>Data!F511</f>
        <v>46087.425920995367</v>
      </c>
      <c r="D513" s="11" t="str">
        <f>Data!G511</f>
        <v>Voltaje de la batería de alta tensión</v>
      </c>
      <c r="E513" s="11" t="str">
        <f>Data!J511</f>
        <v>Telematics Device</v>
      </c>
      <c r="F513" s="13">
        <f>Data!L511</f>
        <v>0</v>
      </c>
      <c r="G513" s="11" t="str">
        <f>CONCATENATE(Data!N511," ",Data!P511)</f>
        <v>356 V</v>
      </c>
    </row>
    <row r="514" spans="1:7" x14ac:dyDescent="0.3">
      <c r="A514" s="11" t="str">
        <f>Data!A512</f>
        <v>NISSAN LEAF 299-1018</v>
      </c>
      <c r="B514" s="11" t="str">
        <f>Data!D512</f>
        <v>Vehicle, Battery Electric Vehicle</v>
      </c>
      <c r="C514" s="12">
        <f>Data!F512</f>
        <v>46087.425921631948</v>
      </c>
      <c r="D514" s="11" t="str">
        <f>Data!G512</f>
        <v>Energía de la batería del vehículo eléctrico</v>
      </c>
      <c r="E514" s="11" t="str">
        <f>Data!J512</f>
        <v>Telematics Device</v>
      </c>
      <c r="F514" s="13">
        <f>Data!L512</f>
        <v>0</v>
      </c>
      <c r="G514" s="11" t="str">
        <f>CONCATENATE(Data!N512," ",Data!P512)</f>
        <v>-8366 W</v>
      </c>
    </row>
    <row r="515" spans="1:7" x14ac:dyDescent="0.3">
      <c r="A515" s="11" t="str">
        <f>Data!A513</f>
        <v>NISSAN LEAF 299-1018</v>
      </c>
      <c r="B515" s="11" t="str">
        <f>Data!D513</f>
        <v>Vehicle, Battery Electric Vehicle</v>
      </c>
      <c r="C515" s="12">
        <f>Data!F513</f>
        <v>46087.425979768515</v>
      </c>
      <c r="D515" s="11" t="str">
        <f>Data!G513</f>
        <v>Energía de la batería del vehículo eléctrico</v>
      </c>
      <c r="E515" s="11" t="str">
        <f>Data!J513</f>
        <v>Telematics Device</v>
      </c>
      <c r="F515" s="13">
        <f>Data!L513</f>
        <v>0</v>
      </c>
      <c r="G515" s="11" t="str">
        <f>CONCATENATE(Data!N513," ",Data!P513)</f>
        <v>-42008 W</v>
      </c>
    </row>
    <row r="516" spans="1:7" x14ac:dyDescent="0.3">
      <c r="A516" s="11" t="str">
        <f>Data!A514</f>
        <v>NISSAN LEAF 299-1018</v>
      </c>
      <c r="B516" s="11" t="str">
        <f>Data!D514</f>
        <v>Vehicle, Battery Electric Vehicle</v>
      </c>
      <c r="C516" s="12">
        <f>Data!F514</f>
        <v>46087.426130821761</v>
      </c>
      <c r="D516" s="11" t="str">
        <f>Data!G514</f>
        <v>Energía de la batería del vehículo eléctrico</v>
      </c>
      <c r="E516" s="11" t="str">
        <f>Data!J514</f>
        <v>Telematics Device</v>
      </c>
      <c r="F516" s="13">
        <f>Data!L514</f>
        <v>0</v>
      </c>
      <c r="G516" s="11" t="str">
        <f>CONCATENATE(Data!N514," ",Data!P514)</f>
        <v>26085 W</v>
      </c>
    </row>
    <row r="517" spans="1:7" x14ac:dyDescent="0.3">
      <c r="A517" s="11" t="str">
        <f>Data!A515</f>
        <v>NISSAN LEAF 299-1018</v>
      </c>
      <c r="B517" s="11" t="str">
        <f>Data!D515</f>
        <v>Vehicle, Battery Electric Vehicle</v>
      </c>
      <c r="C517" s="12">
        <f>Data!F515</f>
        <v>46087.426165775461</v>
      </c>
      <c r="D517" s="11" t="str">
        <f>Data!G515</f>
        <v>Energía de la batería del vehículo eléctrico</v>
      </c>
      <c r="E517" s="11" t="str">
        <f>Data!J515</f>
        <v>Telematics Device</v>
      </c>
      <c r="F517" s="13">
        <f>Data!L515</f>
        <v>0</v>
      </c>
      <c r="G517" s="11" t="str">
        <f>CONCATENATE(Data!N515," ",Data!P515)</f>
        <v>-10208 W</v>
      </c>
    </row>
    <row r="518" spans="1:7" x14ac:dyDescent="0.3">
      <c r="A518" s="11" t="str">
        <f>Data!A516</f>
        <v>NISSAN LEAF 299-1018</v>
      </c>
      <c r="B518" s="11" t="str">
        <f>Data!D516</f>
        <v>Vehicle, Battery Electric Vehicle</v>
      </c>
      <c r="C518" s="12">
        <f>Data!F516</f>
        <v>46087.426282187502</v>
      </c>
      <c r="D518" s="11" t="str">
        <f>Data!G516</f>
        <v>Energía de la batería del vehículo eléctrico</v>
      </c>
      <c r="E518" s="11" t="str">
        <f>Data!J516</f>
        <v>Telematics Device</v>
      </c>
      <c r="F518" s="13">
        <f>Data!L516</f>
        <v>0</v>
      </c>
      <c r="G518" s="11" t="str">
        <f>CONCATENATE(Data!N516," ",Data!P516)</f>
        <v>16591 W</v>
      </c>
    </row>
    <row r="519" spans="1:7" x14ac:dyDescent="0.3">
      <c r="A519" s="11" t="str">
        <f>Data!A517</f>
        <v>NISSAN LEAF 299-1018</v>
      </c>
      <c r="B519" s="11" t="str">
        <f>Data!D517</f>
        <v>Vehicle, Battery Electric Vehicle</v>
      </c>
      <c r="C519" s="12">
        <f>Data!F517</f>
        <v>46087.426340509257</v>
      </c>
      <c r="D519" s="11" t="str">
        <f>Data!G517</f>
        <v>Energía de la batería del vehículo eléctrico</v>
      </c>
      <c r="E519" s="11" t="str">
        <f>Data!J517</f>
        <v>Telematics Device</v>
      </c>
      <c r="F519" s="13">
        <f>Data!L517</f>
        <v>0</v>
      </c>
      <c r="G519" s="11" t="str">
        <f>CONCATENATE(Data!N517," ",Data!P517)</f>
        <v>-9531 W</v>
      </c>
    </row>
    <row r="520" spans="1:7" x14ac:dyDescent="0.3">
      <c r="A520" s="11" t="str">
        <f>Data!A518</f>
        <v>NISSAN LEAF 299-1018</v>
      </c>
      <c r="B520" s="11" t="str">
        <f>Data!D518</f>
        <v>Vehicle, Battery Electric Vehicle</v>
      </c>
      <c r="C520" s="12">
        <f>Data!F518</f>
        <v>46087.426410902779</v>
      </c>
      <c r="D520" s="11" t="str">
        <f>Data!G518</f>
        <v>Energía de la batería del vehículo eléctrico</v>
      </c>
      <c r="E520" s="11" t="str">
        <f>Data!J518</f>
        <v>Telematics Device</v>
      </c>
      <c r="F520" s="13">
        <f>Data!L518</f>
        <v>0</v>
      </c>
      <c r="G520" s="11" t="str">
        <f>CONCATENATE(Data!N518," ",Data!P518)</f>
        <v>27495 W</v>
      </c>
    </row>
    <row r="521" spans="1:7" x14ac:dyDescent="0.3">
      <c r="A521" s="11" t="str">
        <f>Data!A519</f>
        <v>NISSAN LEAF 299-1018</v>
      </c>
      <c r="B521" s="11" t="str">
        <f>Data!D519</f>
        <v>Vehicle, Battery Electric Vehicle</v>
      </c>
      <c r="C521" s="12">
        <f>Data!F519</f>
        <v>46087.426422476849</v>
      </c>
      <c r="D521" s="11" t="str">
        <f>Data!G519</f>
        <v>Energía de la batería del vehículo eléctrico</v>
      </c>
      <c r="E521" s="11" t="str">
        <f>Data!J519</f>
        <v>Telematics Device</v>
      </c>
      <c r="F521" s="13">
        <f>Data!L519</f>
        <v>0</v>
      </c>
      <c r="G521" s="11" t="str">
        <f>CONCATENATE(Data!N519," ",Data!P519)</f>
        <v>-5089 W</v>
      </c>
    </row>
    <row r="522" spans="1:7" x14ac:dyDescent="0.3">
      <c r="A522" s="11" t="str">
        <f>Data!A520</f>
        <v>NISSAN LEAF 299-1018</v>
      </c>
      <c r="B522" s="11" t="str">
        <f>Data!D520</f>
        <v>Vehicle, Battery Electric Vehicle</v>
      </c>
      <c r="C522" s="12">
        <f>Data!F520</f>
        <v>46087.426911215276</v>
      </c>
      <c r="D522" s="11" t="str">
        <f>Data!G520</f>
        <v>Energía de la batería del vehículo eléctrico</v>
      </c>
      <c r="E522" s="11" t="str">
        <f>Data!J520</f>
        <v>Telematics Device</v>
      </c>
      <c r="F522" s="13">
        <f>Data!L520</f>
        <v>0</v>
      </c>
      <c r="G522" s="11" t="str">
        <f>CONCATENATE(Data!N520," ",Data!P520)</f>
        <v>-16175 W</v>
      </c>
    </row>
    <row r="523" spans="1:7" x14ac:dyDescent="0.3">
      <c r="A523" s="11" t="str">
        <f>Data!A521</f>
        <v>NISSAN LEAF 299-1018</v>
      </c>
      <c r="B523" s="11" t="str">
        <f>Data!D521</f>
        <v>Vehicle, Battery Electric Vehicle</v>
      </c>
      <c r="C523" s="12">
        <f>Data!F521</f>
        <v>46087.42706253472</v>
      </c>
      <c r="D523" s="11" t="str">
        <f>Data!G521</f>
        <v>Energía de la batería del vehículo eléctrico</v>
      </c>
      <c r="E523" s="11" t="str">
        <f>Data!J521</f>
        <v>Telematics Device</v>
      </c>
      <c r="F523" s="13">
        <f>Data!L521</f>
        <v>0</v>
      </c>
      <c r="G523" s="11" t="str">
        <f>CONCATENATE(Data!N521," ",Data!P521)</f>
        <v>36575 W</v>
      </c>
    </row>
    <row r="524" spans="1:7" x14ac:dyDescent="0.3">
      <c r="A524" s="11" t="str">
        <f>Data!A522</f>
        <v>NISSAN LEAF 299-1018</v>
      </c>
      <c r="B524" s="11" t="str">
        <f>Data!D522</f>
        <v>Vehicle, Battery Electric Vehicle</v>
      </c>
      <c r="C524" s="12">
        <f>Data!F522</f>
        <v>46087.427167060188</v>
      </c>
      <c r="D524" s="11" t="str">
        <f>Data!G522</f>
        <v>Energía de la batería del vehículo eléctrico</v>
      </c>
      <c r="E524" s="11" t="str">
        <f>Data!J522</f>
        <v>Telematics Device</v>
      </c>
      <c r="F524" s="13">
        <f>Data!L522</f>
        <v>0</v>
      </c>
      <c r="G524" s="11" t="str">
        <f>CONCATENATE(Data!N522," ",Data!P522)</f>
        <v>-23140 W</v>
      </c>
    </row>
    <row r="525" spans="1:7" x14ac:dyDescent="0.3">
      <c r="A525" s="11" t="str">
        <f>Data!A523</f>
        <v>NISSAN LEAF 299-1018</v>
      </c>
      <c r="B525" s="11" t="str">
        <f>Data!D523</f>
        <v>Vehicle, Battery Electric Vehicle</v>
      </c>
      <c r="C525" s="12">
        <f>Data!F523</f>
        <v>46087.427248449072</v>
      </c>
      <c r="D525" s="11" t="str">
        <f>Data!G523</f>
        <v>Energía de la batería del vehículo eléctrico</v>
      </c>
      <c r="E525" s="11" t="str">
        <f>Data!J523</f>
        <v>Telematics Device</v>
      </c>
      <c r="F525" s="13">
        <f>Data!L523</f>
        <v>0</v>
      </c>
      <c r="G525" s="11" t="str">
        <f>CONCATENATE(Data!N523," ",Data!P523)</f>
        <v>24322 W</v>
      </c>
    </row>
    <row r="526" spans="1:7" x14ac:dyDescent="0.3">
      <c r="A526" s="11" t="str">
        <f>Data!A524</f>
        <v>NISSAN LEAF 299-1018</v>
      </c>
      <c r="B526" s="11" t="str">
        <f>Data!D524</f>
        <v>Vehicle, Battery Electric Vehicle</v>
      </c>
      <c r="C526" s="12">
        <f>Data!F524</f>
        <v>46087.427387962962</v>
      </c>
      <c r="D526" s="11" t="str">
        <f>Data!G524</f>
        <v>Energía de la batería del vehículo eléctrico</v>
      </c>
      <c r="E526" s="11" t="str">
        <f>Data!J524</f>
        <v>Telematics Device</v>
      </c>
      <c r="F526" s="13">
        <f>Data!L524</f>
        <v>0</v>
      </c>
      <c r="G526" s="11" t="str">
        <f>CONCATENATE(Data!N524," ",Data!P524)</f>
        <v>-4425 W</v>
      </c>
    </row>
    <row r="527" spans="1:7" x14ac:dyDescent="0.3">
      <c r="A527" s="11" t="str">
        <f>Data!A525</f>
        <v>NISSAN LEAF 299-1018</v>
      </c>
      <c r="B527" s="11" t="str">
        <f>Data!D525</f>
        <v>Vehicle, Battery Electric Vehicle</v>
      </c>
      <c r="C527" s="12">
        <f>Data!F525</f>
        <v>46087.42751577546</v>
      </c>
      <c r="D527" s="11" t="str">
        <f>Data!G525</f>
        <v>Energía de la batería del vehículo eléctrico</v>
      </c>
      <c r="E527" s="11" t="str">
        <f>Data!J525</f>
        <v>Telematics Device</v>
      </c>
      <c r="F527" s="13">
        <f>Data!L525</f>
        <v>0</v>
      </c>
      <c r="G527" s="11" t="str">
        <f>CONCATENATE(Data!N525," ",Data!P525)</f>
        <v>36101 W</v>
      </c>
    </row>
    <row r="528" spans="1:7" x14ac:dyDescent="0.3">
      <c r="A528" s="11" t="str">
        <f>Data!A526</f>
        <v>NISSAN LEAF 299-1018</v>
      </c>
      <c r="B528" s="11" t="str">
        <f>Data!D526</f>
        <v>Vehicle, Battery Electric Vehicle</v>
      </c>
      <c r="C528" s="12">
        <f>Data!F526</f>
        <v>46087.427573877314</v>
      </c>
      <c r="D528" s="11" t="str">
        <f>Data!G526</f>
        <v>Energía de la batería del vehículo eléctrico</v>
      </c>
      <c r="E528" s="11" t="str">
        <f>Data!J526</f>
        <v>Telematics Device</v>
      </c>
      <c r="F528" s="13">
        <f>Data!L526</f>
        <v>0</v>
      </c>
      <c r="G528" s="11" t="str">
        <f>CONCATENATE(Data!N526," ",Data!P526)</f>
        <v>-11842 W</v>
      </c>
    </row>
    <row r="529" spans="1:7" x14ac:dyDescent="0.3">
      <c r="A529" s="11" t="str">
        <f>Data!A527</f>
        <v>NISSAN LEAF 299-1018</v>
      </c>
      <c r="B529" s="11" t="str">
        <f>Data!D527</f>
        <v>Vehicle, Battery Electric Vehicle</v>
      </c>
      <c r="C529" s="12">
        <f>Data!F527</f>
        <v>46087.427678541666</v>
      </c>
      <c r="D529" s="11" t="str">
        <f>Data!G527</f>
        <v>Energía de la batería del vehículo eléctrico</v>
      </c>
      <c r="E529" s="11" t="str">
        <f>Data!J527</f>
        <v>Telematics Device</v>
      </c>
      <c r="F529" s="13">
        <f>Data!L527</f>
        <v>0</v>
      </c>
      <c r="G529" s="11" t="str">
        <f>CONCATENATE(Data!N527," ",Data!P527)</f>
        <v>17297 W</v>
      </c>
    </row>
    <row r="530" spans="1:7" x14ac:dyDescent="0.3">
      <c r="A530" s="11" t="str">
        <f>Data!A528</f>
        <v>NISSAN LEAF 299-1018</v>
      </c>
      <c r="B530" s="11" t="str">
        <f>Data!D528</f>
        <v>Vehicle, Battery Electric Vehicle</v>
      </c>
      <c r="C530" s="12">
        <f>Data!F528</f>
        <v>46087.428201319446</v>
      </c>
      <c r="D530" s="11" t="str">
        <f>Data!G528</f>
        <v>Energía de la batería del vehículo eléctrico</v>
      </c>
      <c r="E530" s="11" t="str">
        <f>Data!J528</f>
        <v>Telematics Device</v>
      </c>
      <c r="F530" s="13">
        <f>Data!L528</f>
        <v>0</v>
      </c>
      <c r="G530" s="11" t="str">
        <f>CONCATENATE(Data!N528," ",Data!P528)</f>
        <v>-4230 W</v>
      </c>
    </row>
    <row r="531" spans="1:7" x14ac:dyDescent="0.3">
      <c r="A531" s="11" t="str">
        <f>Data!A529</f>
        <v>NISSAN LEAF 299-1018</v>
      </c>
      <c r="B531" s="11" t="str">
        <f>Data!D529</f>
        <v>Vehicle, Battery Electric Vehicle</v>
      </c>
      <c r="C531" s="12">
        <f>Data!F529</f>
        <v>46087.428247835647</v>
      </c>
      <c r="D531" s="11" t="str">
        <f>Data!G529</f>
        <v>Energía de la batería del vehículo eléctrico</v>
      </c>
      <c r="E531" s="11" t="str">
        <f>Data!J529</f>
        <v>Telematics Device</v>
      </c>
      <c r="F531" s="13">
        <f>Data!L529</f>
        <v>0</v>
      </c>
      <c r="G531" s="11" t="str">
        <f>CONCATENATE(Data!N529," ",Data!P529)</f>
        <v>-33417 W</v>
      </c>
    </row>
    <row r="532" spans="1:7" x14ac:dyDescent="0.3">
      <c r="A532" s="11" t="str">
        <f>Data!A530</f>
        <v>NISSAN LEAF 299-1018</v>
      </c>
      <c r="B532" s="11" t="str">
        <f>Data!D530</f>
        <v>Vehicle, Battery Electric Vehicle</v>
      </c>
      <c r="C532" s="12">
        <f>Data!F530</f>
        <v>46087.428526608797</v>
      </c>
      <c r="D532" s="11" t="str">
        <f>Data!G530</f>
        <v>Energía de la batería del vehículo eléctrico</v>
      </c>
      <c r="E532" s="11" t="str">
        <f>Data!J530</f>
        <v>Telematics Device</v>
      </c>
      <c r="F532" s="13">
        <f>Data!L530</f>
        <v>0</v>
      </c>
      <c r="G532" s="11" t="str">
        <f>CONCATENATE(Data!N530," ",Data!P530)</f>
        <v>11119 W</v>
      </c>
    </row>
    <row r="533" spans="1:7" x14ac:dyDescent="0.3">
      <c r="A533" s="11" t="str">
        <f>Data!A531</f>
        <v>NISSAN LEAF 299-1018</v>
      </c>
      <c r="B533" s="11" t="str">
        <f>Data!D531</f>
        <v>Vehicle, Battery Electric Vehicle</v>
      </c>
      <c r="C533" s="12">
        <f>Data!F531</f>
        <v>46087.428631134258</v>
      </c>
      <c r="D533" s="11" t="str">
        <f>Data!G531</f>
        <v>Energía de la batería del vehículo eléctrico</v>
      </c>
      <c r="E533" s="11" t="str">
        <f>Data!J531</f>
        <v>Telematics Device</v>
      </c>
      <c r="F533" s="13">
        <f>Data!L531</f>
        <v>0</v>
      </c>
      <c r="G533" s="11" t="str">
        <f>CONCATENATE(Data!N531," ",Data!P531)</f>
        <v>-41238 W</v>
      </c>
    </row>
    <row r="534" spans="1:7" x14ac:dyDescent="0.3">
      <c r="A534" s="11" t="str">
        <f>Data!A532</f>
        <v>NISSAN LEAF 299-1018</v>
      </c>
      <c r="B534" s="11" t="str">
        <f>Data!D532</f>
        <v>Vehicle, Battery Electric Vehicle</v>
      </c>
      <c r="C534" s="12">
        <f>Data!F532</f>
        <v>46087.428642754632</v>
      </c>
      <c r="D534" s="11" t="str">
        <f>Data!G532</f>
        <v>Energía de la batería del vehículo eléctrico</v>
      </c>
      <c r="E534" s="11" t="str">
        <f>Data!J532</f>
        <v>Telematics Device</v>
      </c>
      <c r="F534" s="13">
        <f>Data!L532</f>
        <v>0</v>
      </c>
      <c r="G534" s="11" t="str">
        <f>CONCATENATE(Data!N532," ",Data!P532)</f>
        <v>-8436 W</v>
      </c>
    </row>
    <row r="535" spans="1:7" x14ac:dyDescent="0.3">
      <c r="A535" s="11" t="str">
        <f>Data!A533</f>
        <v>NISSAN LEAF 299-1018</v>
      </c>
      <c r="B535" s="11" t="str">
        <f>Data!D533</f>
        <v>Vehicle, Battery Electric Vehicle</v>
      </c>
      <c r="C535" s="12">
        <f>Data!F533</f>
        <v>46087.428886724534</v>
      </c>
      <c r="D535" s="11" t="str">
        <f>Data!G533</f>
        <v>Energía de la batería del vehículo eléctrico</v>
      </c>
      <c r="E535" s="11" t="str">
        <f>Data!J533</f>
        <v>Telematics Device</v>
      </c>
      <c r="F535" s="13">
        <f>Data!L533</f>
        <v>0</v>
      </c>
      <c r="G535" s="11" t="str">
        <f>CONCATENATE(Data!N533," ",Data!P533)</f>
        <v>39656 W</v>
      </c>
    </row>
    <row r="536" spans="1:7" x14ac:dyDescent="0.3">
      <c r="A536" s="11" t="str">
        <f>Data!A534</f>
        <v>NISSAN LEAF 299-1018</v>
      </c>
      <c r="B536" s="11" t="str">
        <f>Data!D534</f>
        <v>Vehicle, Battery Electric Vehicle</v>
      </c>
      <c r="C536" s="12">
        <f>Data!F534</f>
        <v>46087.428956388889</v>
      </c>
      <c r="D536" s="11" t="str">
        <f>Data!G534</f>
        <v>Energía de la batería del vehículo eléctrico</v>
      </c>
      <c r="E536" s="11" t="str">
        <f>Data!J534</f>
        <v>Telematics Device</v>
      </c>
      <c r="F536" s="13">
        <f>Data!L534</f>
        <v>0</v>
      </c>
      <c r="G536" s="11" t="str">
        <f>CONCATENATE(Data!N534," ",Data!P534)</f>
        <v>-3866 W</v>
      </c>
    </row>
    <row r="537" spans="1:7" x14ac:dyDescent="0.3">
      <c r="A537" s="11" t="str">
        <f>Data!A535</f>
        <v>NISSAN LEAF 299-1018</v>
      </c>
      <c r="B537" s="11" t="str">
        <f>Data!D535</f>
        <v>Vehicle, Battery Electric Vehicle</v>
      </c>
      <c r="C537" s="12">
        <f>Data!F535</f>
        <v>46087.428957118056</v>
      </c>
      <c r="D537" s="11" t="str">
        <f>Data!G535</f>
        <v>Estado de carga genérico</v>
      </c>
      <c r="E537" s="11" t="str">
        <f>Data!J535</f>
        <v>Telematics Device</v>
      </c>
      <c r="F537" s="13">
        <f>Data!L535</f>
        <v>0</v>
      </c>
      <c r="G537" s="11" t="str">
        <f>CONCATENATE(Data!N535," ",Data!P535)</f>
        <v>55.245 %</v>
      </c>
    </row>
    <row r="538" spans="1:7" x14ac:dyDescent="0.3">
      <c r="A538" s="11" t="str">
        <f>Data!A536</f>
        <v>NISSAN LEAF 299-1018</v>
      </c>
      <c r="B538" s="11" t="str">
        <f>Data!D536</f>
        <v>Vehicle, Battery Electric Vehicle</v>
      </c>
      <c r="C538" s="12">
        <f>Data!F536</f>
        <v>46087.428991111112</v>
      </c>
      <c r="D538" s="11" t="str">
        <f>Data!G536</f>
        <v>Energía de la batería del vehículo eléctrico</v>
      </c>
      <c r="E538" s="11" t="str">
        <f>Data!J536</f>
        <v>Telematics Device</v>
      </c>
      <c r="F538" s="13">
        <f>Data!L536</f>
        <v>0</v>
      </c>
      <c r="G538" s="11" t="str">
        <f>CONCATENATE(Data!N536," ",Data!P536)</f>
        <v>-2297 W</v>
      </c>
    </row>
    <row r="539" spans="1:7" x14ac:dyDescent="0.3">
      <c r="A539" s="11" t="str">
        <f>Data!A537</f>
        <v>NISSAN LEAF 299-1018</v>
      </c>
      <c r="B539" s="11" t="str">
        <f>Data!D537</f>
        <v>Vehicle, Battery Electric Vehicle</v>
      </c>
      <c r="C539" s="12">
        <f>Data!F537</f>
        <v>46087.429014351852</v>
      </c>
      <c r="D539" s="11" t="str">
        <f>Data!G537</f>
        <v>Energía de la batería del vehículo eléctrico</v>
      </c>
      <c r="E539" s="11" t="str">
        <f>Data!J537</f>
        <v>Telematics Device</v>
      </c>
      <c r="F539" s="13">
        <f>Data!L537</f>
        <v>0</v>
      </c>
      <c r="G539" s="11" t="str">
        <f>CONCATENATE(Data!N537," ",Data!P537)</f>
        <v>41300 W</v>
      </c>
    </row>
    <row r="540" spans="1:7" x14ac:dyDescent="0.3">
      <c r="A540" s="11" t="str">
        <f>Data!A538</f>
        <v>NISSAN LEAF 299-1018</v>
      </c>
      <c r="B540" s="11" t="str">
        <f>Data!D538</f>
        <v>Vehicle, Battery Electric Vehicle</v>
      </c>
      <c r="C540" s="12">
        <f>Data!F538</f>
        <v>46087.429083935182</v>
      </c>
      <c r="D540" s="11" t="str">
        <f>Data!G538</f>
        <v>Energía de la batería del vehículo eléctrico</v>
      </c>
      <c r="E540" s="11" t="str">
        <f>Data!J538</f>
        <v>Telematics Device</v>
      </c>
      <c r="F540" s="13">
        <f>Data!L538</f>
        <v>0</v>
      </c>
      <c r="G540" s="11" t="str">
        <f>CONCATENATE(Data!N538," ",Data!P538)</f>
        <v>46671 W</v>
      </c>
    </row>
    <row r="541" spans="1:7" x14ac:dyDescent="0.3">
      <c r="A541" s="11" t="str">
        <f>Data!A539</f>
        <v>NISSAN LEAF 299-1018</v>
      </c>
      <c r="B541" s="11" t="str">
        <f>Data!D539</f>
        <v>Vehicle, Battery Electric Vehicle</v>
      </c>
      <c r="C541" s="12">
        <f>Data!F539</f>
        <v>46087.429118692133</v>
      </c>
      <c r="D541" s="11" t="str">
        <f>Data!G539</f>
        <v>Energía de la batería del vehículo eléctrico</v>
      </c>
      <c r="E541" s="11" t="str">
        <f>Data!J539</f>
        <v>Telematics Device</v>
      </c>
      <c r="F541" s="13">
        <f>Data!L539</f>
        <v>0</v>
      </c>
      <c r="G541" s="11" t="str">
        <f>CONCATENATE(Data!N539," ",Data!P539)</f>
        <v>-9341 W</v>
      </c>
    </row>
    <row r="542" spans="1:7" x14ac:dyDescent="0.3">
      <c r="A542" s="11" t="str">
        <f>Data!A540</f>
        <v>NISSAN LEAF 299-1018</v>
      </c>
      <c r="B542" s="11" t="str">
        <f>Data!D540</f>
        <v>Vehicle, Battery Electric Vehicle</v>
      </c>
      <c r="C542" s="12">
        <f>Data!F540</f>
        <v>46087.42913045139</v>
      </c>
      <c r="D542" s="11" t="str">
        <f>Data!G540</f>
        <v>Energía de la batería del vehículo eléctrico</v>
      </c>
      <c r="E542" s="11" t="str">
        <f>Data!J540</f>
        <v>Telematics Device</v>
      </c>
      <c r="F542" s="13">
        <f>Data!L540</f>
        <v>0</v>
      </c>
      <c r="G542" s="11" t="str">
        <f>CONCATENATE(Data!N540," ",Data!P540)</f>
        <v>37418 W</v>
      </c>
    </row>
    <row r="543" spans="1:7" x14ac:dyDescent="0.3">
      <c r="A543" s="11" t="str">
        <f>Data!A541</f>
        <v>NISSAN LEAF 299-1018</v>
      </c>
      <c r="B543" s="11" t="str">
        <f>Data!D541</f>
        <v>Vehicle, Battery Electric Vehicle</v>
      </c>
      <c r="C543" s="12">
        <f>Data!F541</f>
        <v>46087.429421435183</v>
      </c>
      <c r="D543" s="11" t="str">
        <f>Data!G541</f>
        <v>Estado de carga genérico</v>
      </c>
      <c r="E543" s="11" t="str">
        <f>Data!J541</f>
        <v>Telematics Device</v>
      </c>
      <c r="F543" s="13">
        <f>Data!L541</f>
        <v>0</v>
      </c>
      <c r="G543" s="11" t="str">
        <f>CONCATENATE(Data!N541," ",Data!P541)</f>
        <v>54.025 %</v>
      </c>
    </row>
    <row r="544" spans="1:7" x14ac:dyDescent="0.3">
      <c r="A544" s="11" t="str">
        <f>Data!A542</f>
        <v>NISSAN LEAF 299-1018</v>
      </c>
      <c r="B544" s="11" t="str">
        <f>Data!D542</f>
        <v>Vehicle, Battery Electric Vehicle</v>
      </c>
      <c r="C544" s="12">
        <f>Data!F542</f>
        <v>46087.429525648149</v>
      </c>
      <c r="D544" s="11" t="str">
        <f>Data!G542</f>
        <v>Energía de la batería del vehículo eléctrico</v>
      </c>
      <c r="E544" s="11" t="str">
        <f>Data!J542</f>
        <v>Telematics Device</v>
      </c>
      <c r="F544" s="13">
        <f>Data!L542</f>
        <v>0</v>
      </c>
      <c r="G544" s="11" t="str">
        <f>CONCATENATE(Data!N542," ",Data!P542)</f>
        <v>39157 W</v>
      </c>
    </row>
    <row r="545" spans="1:7" x14ac:dyDescent="0.3">
      <c r="A545" s="11" t="str">
        <f>Data!A543</f>
        <v>NISSAN LEAF 299-1018</v>
      </c>
      <c r="B545" s="11" t="str">
        <f>Data!D543</f>
        <v>Vehicle, Battery Electric Vehicle</v>
      </c>
      <c r="C545" s="12">
        <f>Data!F543</f>
        <v>46087.42954892361</v>
      </c>
      <c r="D545" s="11" t="str">
        <f>Data!G543</f>
        <v>Energía de la batería del vehículo eléctrico</v>
      </c>
      <c r="E545" s="11" t="str">
        <f>Data!J543</f>
        <v>Telematics Device</v>
      </c>
      <c r="F545" s="13">
        <f>Data!L543</f>
        <v>0</v>
      </c>
      <c r="G545" s="11" t="str">
        <f>CONCATENATE(Data!N543," ",Data!P543)</f>
        <v>-12783 W</v>
      </c>
    </row>
    <row r="546" spans="1:7" x14ac:dyDescent="0.3">
      <c r="A546" s="11" t="str">
        <f>Data!A544</f>
        <v>NISSAN LEAF 299-1018</v>
      </c>
      <c r="B546" s="11" t="str">
        <f>Data!D544</f>
        <v>Vehicle, Battery Electric Vehicle</v>
      </c>
      <c r="C546" s="12">
        <f>Data!F544</f>
        <v>46087.429782488427</v>
      </c>
      <c r="D546" s="11" t="str">
        <f>Data!G544</f>
        <v>Energía de la batería del vehículo eléctrico</v>
      </c>
      <c r="E546" s="11" t="str">
        <f>Data!J544</f>
        <v>Telematics Device</v>
      </c>
      <c r="F546" s="13">
        <f>Data!L544</f>
        <v>0</v>
      </c>
      <c r="G546" s="11" t="str">
        <f>CONCATENATE(Data!N544," ",Data!P544)</f>
        <v>-16838 W</v>
      </c>
    </row>
    <row r="547" spans="1:7" x14ac:dyDescent="0.3">
      <c r="A547" s="11" t="str">
        <f>Data!A545</f>
        <v>NISSAN LEAF 299-1018</v>
      </c>
      <c r="B547" s="11" t="str">
        <f>Data!D545</f>
        <v>Vehicle, Battery Electric Vehicle</v>
      </c>
      <c r="C547" s="12">
        <f>Data!F545</f>
        <v>46087.429922013886</v>
      </c>
      <c r="D547" s="11" t="str">
        <f>Data!G545</f>
        <v>Energía de la batería del vehículo eléctrico</v>
      </c>
      <c r="E547" s="11" t="str">
        <f>Data!J545</f>
        <v>Telematics Device</v>
      </c>
      <c r="F547" s="13">
        <f>Data!L545</f>
        <v>0</v>
      </c>
      <c r="G547" s="11" t="str">
        <f>CONCATENATE(Data!N545," ",Data!P545)</f>
        <v>25863 W</v>
      </c>
    </row>
    <row r="548" spans="1:7" x14ac:dyDescent="0.3">
      <c r="A548" s="11" t="str">
        <f>Data!A546</f>
        <v>NISSAN LEAF 299-1018</v>
      </c>
      <c r="B548" s="11" t="str">
        <f>Data!D546</f>
        <v>Vehicle, Battery Electric Vehicle</v>
      </c>
      <c r="C548" s="12">
        <f>Data!F546</f>
        <v>46087.429957048611</v>
      </c>
      <c r="D548" s="11" t="str">
        <f>Data!G546</f>
        <v>Energía de la batería del vehículo eléctrico</v>
      </c>
      <c r="E548" s="11" t="str">
        <f>Data!J546</f>
        <v>Telematics Device</v>
      </c>
      <c r="F548" s="13">
        <f>Data!L546</f>
        <v>0</v>
      </c>
      <c r="G548" s="11" t="str">
        <f>CONCATENATE(Data!N546," ",Data!P546)</f>
        <v>-10485 W</v>
      </c>
    </row>
    <row r="549" spans="1:7" x14ac:dyDescent="0.3">
      <c r="A549" s="11" t="str">
        <f>Data!A547</f>
        <v>NISSAN LEAF 299-1018</v>
      </c>
      <c r="B549" s="11" t="str">
        <f>Data!D547</f>
        <v>Vehicle, Battery Electric Vehicle</v>
      </c>
      <c r="C549" s="12">
        <f>Data!F547</f>
        <v>46087.430073240743</v>
      </c>
      <c r="D549" s="11" t="str">
        <f>Data!G547</f>
        <v>Energía de la batería del vehículo eléctrico</v>
      </c>
      <c r="E549" s="11" t="str">
        <f>Data!J547</f>
        <v>Telematics Device</v>
      </c>
      <c r="F549" s="13">
        <f>Data!L547</f>
        <v>0</v>
      </c>
      <c r="G549" s="11" t="str">
        <f>CONCATENATE(Data!N547," ",Data!P547)</f>
        <v>24150 W</v>
      </c>
    </row>
    <row r="550" spans="1:7" x14ac:dyDescent="0.3">
      <c r="A550" s="11" t="str">
        <f>Data!A548</f>
        <v>NISSAN LEAF 299-1018</v>
      </c>
      <c r="B550" s="11" t="str">
        <f>Data!D548</f>
        <v>Vehicle, Battery Electric Vehicle</v>
      </c>
      <c r="C550" s="12">
        <f>Data!F548</f>
        <v>46087.430410520836</v>
      </c>
      <c r="D550" s="11" t="str">
        <f>Data!G548</f>
        <v>Energía de la batería del vehículo eléctrico</v>
      </c>
      <c r="E550" s="11" t="str">
        <f>Data!J548</f>
        <v>Telematics Device</v>
      </c>
      <c r="F550" s="13">
        <f>Data!L548</f>
        <v>0</v>
      </c>
      <c r="G550" s="11" t="str">
        <f>CONCATENATE(Data!N548," ",Data!P548)</f>
        <v>-13275 W</v>
      </c>
    </row>
    <row r="551" spans="1:7" x14ac:dyDescent="0.3">
      <c r="A551" s="11" t="str">
        <f>Data!A549</f>
        <v>NISSAN LEAF 299-1018</v>
      </c>
      <c r="B551" s="11" t="str">
        <f>Data!D549</f>
        <v>Vehicle, Battery Electric Vehicle</v>
      </c>
      <c r="C551" s="12">
        <f>Data!F549</f>
        <v>46087.430422141202</v>
      </c>
      <c r="D551" s="11" t="str">
        <f>Data!G549</f>
        <v>Energía de la batería del vehículo eléctrico</v>
      </c>
      <c r="E551" s="11" t="str">
        <f>Data!J549</f>
        <v>Telematics Device</v>
      </c>
      <c r="F551" s="13">
        <f>Data!L549</f>
        <v>0</v>
      </c>
      <c r="G551" s="11" t="str">
        <f>CONCATENATE(Data!N549," ",Data!P549)</f>
        <v>-41418 W</v>
      </c>
    </row>
    <row r="552" spans="1:7" x14ac:dyDescent="0.3">
      <c r="A552" s="11" t="str">
        <f>Data!A550</f>
        <v>NISSAN LEAF 299-1018</v>
      </c>
      <c r="B552" s="11" t="str">
        <f>Data!D550</f>
        <v>Vehicle, Battery Electric Vehicle</v>
      </c>
      <c r="C552" s="12">
        <f>Data!F550</f>
        <v>46087.43045699074</v>
      </c>
      <c r="D552" s="11" t="str">
        <f>Data!G550</f>
        <v>Energía de la batería del vehículo eléctrico</v>
      </c>
      <c r="E552" s="11" t="str">
        <f>Data!J550</f>
        <v>Telematics Device</v>
      </c>
      <c r="F552" s="13">
        <f>Data!L550</f>
        <v>0</v>
      </c>
      <c r="G552" s="11" t="str">
        <f>CONCATENATE(Data!N550," ",Data!P550)</f>
        <v>4779 W</v>
      </c>
    </row>
    <row r="553" spans="1:7" x14ac:dyDescent="0.3">
      <c r="A553" s="11" t="str">
        <f>Data!A551</f>
        <v>NISSAN LEAF 299-1018</v>
      </c>
      <c r="B553" s="11" t="str">
        <f>Data!D551</f>
        <v>Vehicle, Battery Electric Vehicle</v>
      </c>
      <c r="C553" s="12">
        <f>Data!F551</f>
        <v>46087.430619525461</v>
      </c>
      <c r="D553" s="11" t="str">
        <f>Data!G551</f>
        <v>Energía de la batería del vehículo eléctrico</v>
      </c>
      <c r="E553" s="11" t="str">
        <f>Data!J551</f>
        <v>Telematics Device</v>
      </c>
      <c r="F553" s="13">
        <f>Data!L551</f>
        <v>0</v>
      </c>
      <c r="G553" s="11" t="str">
        <f>CONCATENATE(Data!N551," ",Data!P551)</f>
        <v>16169 W</v>
      </c>
    </row>
    <row r="554" spans="1:7" x14ac:dyDescent="0.3">
      <c r="A554" s="11" t="str">
        <f>Data!A552</f>
        <v>NISSAN LEAF 299-1018</v>
      </c>
      <c r="B554" s="11" t="str">
        <f>Data!D552</f>
        <v>Vehicle, Battery Electric Vehicle</v>
      </c>
      <c r="C554" s="12">
        <f>Data!F552</f>
        <v>46087.430654699077</v>
      </c>
      <c r="D554" s="11" t="str">
        <f>Data!G552</f>
        <v>Energía de la batería del vehículo eléctrico</v>
      </c>
      <c r="E554" s="11" t="str">
        <f>Data!J552</f>
        <v>Telematics Device</v>
      </c>
      <c r="F554" s="13">
        <f>Data!L552</f>
        <v>0</v>
      </c>
      <c r="G554" s="11" t="str">
        <f>CONCATENATE(Data!N552," ",Data!P552)</f>
        <v>-41124 W</v>
      </c>
    </row>
    <row r="555" spans="1:7" x14ac:dyDescent="0.3">
      <c r="A555" s="11" t="str">
        <f>Data!A553</f>
        <v>NISSAN LEAF 299-1018</v>
      </c>
      <c r="B555" s="11" t="str">
        <f>Data!D553</f>
        <v>Vehicle, Battery Electric Vehicle</v>
      </c>
      <c r="C555" s="12">
        <f>Data!F553</f>
        <v>46087.430689513887</v>
      </c>
      <c r="D555" s="11" t="str">
        <f>Data!G553</f>
        <v>Energía de la batería del vehículo eléctrico</v>
      </c>
      <c r="E555" s="11" t="str">
        <f>Data!J553</f>
        <v>Telematics Device</v>
      </c>
      <c r="F555" s="13">
        <f>Data!L553</f>
        <v>0</v>
      </c>
      <c r="G555" s="11" t="str">
        <f>CONCATENATE(Data!N553," ",Data!P553)</f>
        <v>21917 W</v>
      </c>
    </row>
    <row r="556" spans="1:7" x14ac:dyDescent="0.3">
      <c r="A556" s="11" t="str">
        <f>Data!A554</f>
        <v>NISSAN LEAF 299-1018</v>
      </c>
      <c r="B556" s="11" t="str">
        <f>Data!D554</f>
        <v>Vehicle, Battery Electric Vehicle</v>
      </c>
      <c r="C556" s="12">
        <f>Data!F554</f>
        <v>46087.43104239583</v>
      </c>
      <c r="D556" s="11" t="str">
        <f>Data!G554</f>
        <v>Estado de carga genérico</v>
      </c>
      <c r="E556" s="11" t="str">
        <f>Data!J554</f>
        <v>Telematics Device</v>
      </c>
      <c r="F556" s="13">
        <f>Data!L554</f>
        <v>0</v>
      </c>
      <c r="G556" s="11" t="str">
        <f>CONCATENATE(Data!N554," ",Data!P554)</f>
        <v>52.805 %</v>
      </c>
    </row>
    <row r="557" spans="1:7" x14ac:dyDescent="0.3">
      <c r="A557" s="11" t="str">
        <f>Data!A555</f>
        <v>NISSAN LEAF 299-1018</v>
      </c>
      <c r="B557" s="11" t="str">
        <f>Data!D555</f>
        <v>Vehicle, Battery Electric Vehicle</v>
      </c>
      <c r="C557" s="12">
        <f>Data!F555</f>
        <v>46087.43108480324</v>
      </c>
      <c r="D557" s="11" t="str">
        <f>Data!G555</f>
        <v>Energía de la batería del vehículo eléctrico</v>
      </c>
      <c r="E557" s="11" t="str">
        <f>Data!J555</f>
        <v>Telematics Device</v>
      </c>
      <c r="F557" s="13">
        <f>Data!L555</f>
        <v>0</v>
      </c>
      <c r="G557" s="11" t="str">
        <f>CONCATENATE(Data!N555," ",Data!P555)</f>
        <v>38406 W</v>
      </c>
    </row>
    <row r="558" spans="1:7" x14ac:dyDescent="0.3">
      <c r="A558" s="11" t="str">
        <f>Data!A556</f>
        <v>NISSAN LEAF 299-1018</v>
      </c>
      <c r="B558" s="11" t="str">
        <f>Data!D556</f>
        <v>Vehicle, Battery Electric Vehicle</v>
      </c>
      <c r="C558" s="12">
        <f>Data!F556</f>
        <v>46087.431108171295</v>
      </c>
      <c r="D558" s="11" t="str">
        <f>Data!G556</f>
        <v>Energía de la batería del vehículo eléctrico</v>
      </c>
      <c r="E558" s="11" t="str">
        <f>Data!J556</f>
        <v>Telematics Device</v>
      </c>
      <c r="F558" s="13">
        <f>Data!L556</f>
        <v>0</v>
      </c>
      <c r="G558" s="11" t="str">
        <f>CONCATENATE(Data!N556," ",Data!P556)</f>
        <v>-11401 W</v>
      </c>
    </row>
    <row r="559" spans="1:7" x14ac:dyDescent="0.3">
      <c r="A559" s="11" t="str">
        <f>Data!A557</f>
        <v>NISSAN LEAF 299-1018</v>
      </c>
      <c r="B559" s="11" t="str">
        <f>Data!D557</f>
        <v>Vehicle, Battery Electric Vehicle</v>
      </c>
      <c r="C559" s="12">
        <f>Data!F557</f>
        <v>46087.431375555556</v>
      </c>
      <c r="D559" s="11" t="str">
        <f>Data!G557</f>
        <v>Energía de la batería del vehículo eléctrico</v>
      </c>
      <c r="E559" s="11" t="str">
        <f>Data!J557</f>
        <v>Telematics Device</v>
      </c>
      <c r="F559" s="13">
        <f>Data!L557</f>
        <v>0</v>
      </c>
      <c r="G559" s="11" t="str">
        <f>CONCATENATE(Data!N557," ",Data!P557)</f>
        <v>9490 W</v>
      </c>
    </row>
    <row r="560" spans="1:7" x14ac:dyDescent="0.3">
      <c r="A560" s="11" t="str">
        <f>Data!A558</f>
        <v>NISSAN LEAF 299-1018</v>
      </c>
      <c r="B560" s="11" t="str">
        <f>Data!D558</f>
        <v>Vehicle, Battery Electric Vehicle</v>
      </c>
      <c r="C560" s="12">
        <f>Data!F558</f>
        <v>46087.431433599537</v>
      </c>
      <c r="D560" s="11" t="str">
        <f>Data!G558</f>
        <v>Energía de la batería del vehículo eléctrico</v>
      </c>
      <c r="E560" s="11" t="str">
        <f>Data!J558</f>
        <v>Telematics Device</v>
      </c>
      <c r="F560" s="13">
        <f>Data!L558</f>
        <v>0</v>
      </c>
      <c r="G560" s="11" t="str">
        <f>CONCATENATE(Data!N558," ",Data!P558)</f>
        <v>-37294 W</v>
      </c>
    </row>
    <row r="561" spans="1:7" x14ac:dyDescent="0.3">
      <c r="A561" s="11" t="str">
        <f>Data!A559</f>
        <v>NISSAN LEAF 299-1018</v>
      </c>
      <c r="B561" s="11" t="str">
        <f>Data!D559</f>
        <v>Vehicle, Battery Electric Vehicle</v>
      </c>
      <c r="C561" s="12">
        <f>Data!F559</f>
        <v>46087.431456979168</v>
      </c>
      <c r="D561" s="11" t="str">
        <f>Data!G559</f>
        <v>Energía de la batería del vehículo eléctrico</v>
      </c>
      <c r="E561" s="11" t="str">
        <f>Data!J559</f>
        <v>Telematics Device</v>
      </c>
      <c r="F561" s="13">
        <f>Data!L559</f>
        <v>0</v>
      </c>
      <c r="G561" s="11" t="str">
        <f>CONCATENATE(Data!N559," ",Data!P559)</f>
        <v>1770 W</v>
      </c>
    </row>
    <row r="562" spans="1:7" x14ac:dyDescent="0.3">
      <c r="A562" s="11" t="str">
        <f>Data!A560</f>
        <v>NISSAN LEAF 299-1018</v>
      </c>
      <c r="B562" s="11" t="str">
        <f>Data!D560</f>
        <v>Vehicle, Battery Electric Vehicle</v>
      </c>
      <c r="C562" s="12">
        <f>Data!F560</f>
        <v>46087.431654456021</v>
      </c>
      <c r="D562" s="11" t="str">
        <f>Data!G560</f>
        <v>Energía de la batería del vehículo eléctrico</v>
      </c>
      <c r="E562" s="11" t="str">
        <f>Data!J560</f>
        <v>Telematics Device</v>
      </c>
      <c r="F562" s="13">
        <f>Data!L560</f>
        <v>0</v>
      </c>
      <c r="G562" s="11" t="str">
        <f>CONCATENATE(Data!N560," ",Data!P560)</f>
        <v>39903 W</v>
      </c>
    </row>
    <row r="563" spans="1:7" x14ac:dyDescent="0.3">
      <c r="A563" s="11" t="str">
        <f>Data!A561</f>
        <v>NISSAN LEAF 299-1018</v>
      </c>
      <c r="B563" s="11" t="str">
        <f>Data!D561</f>
        <v>Vehicle, Battery Electric Vehicle</v>
      </c>
      <c r="C563" s="12">
        <f>Data!F561</f>
        <v>46087.431677743058</v>
      </c>
      <c r="D563" s="11" t="str">
        <f>Data!G561</f>
        <v>Energía de la batería del vehículo eléctrico</v>
      </c>
      <c r="E563" s="11" t="str">
        <f>Data!J561</f>
        <v>Telematics Device</v>
      </c>
      <c r="F563" s="13">
        <f>Data!L561</f>
        <v>0</v>
      </c>
      <c r="G563" s="11" t="str">
        <f>CONCATENATE(Data!N561," ",Data!P561)</f>
        <v>-15246 W</v>
      </c>
    </row>
    <row r="564" spans="1:7" x14ac:dyDescent="0.3">
      <c r="C564" s="9"/>
    </row>
  </sheetData>
  <autoFilter ref="A11:G11" xr:uid="{00000000-0009-0000-0000-000001000000}"/>
  <mergeCells count="1">
    <mergeCell ref="A4:B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64"/>
  <sheetViews>
    <sheetView showGridLines="0" workbookViewId="0"/>
  </sheetViews>
  <sheetFormatPr defaultColWidth="9.140625" defaultRowHeight="16.5" x14ac:dyDescent="0.3"/>
  <cols>
    <col min="1" max="2" width="25.42578125" style="8" customWidth="1"/>
    <col min="3" max="3" width="24.140625" style="8" customWidth="1"/>
    <col min="4" max="4" width="28" style="8" bestFit="1" customWidth="1"/>
    <col min="5" max="5" width="18.42578125" style="8" bestFit="1" customWidth="1"/>
    <col min="6" max="6" width="21.42578125" style="8" bestFit="1" customWidth="1"/>
    <col min="7" max="7" width="14.85546875" style="8" bestFit="1" customWidth="1"/>
    <col min="8" max="13" width="0" style="8" hidden="1" customWidth="1"/>
    <col min="14" max="16384" width="9.140625" style="8"/>
  </cols>
  <sheetData>
    <row r="1" spans="1:13" s="19" customFormat="1" ht="25.5" customHeight="1" x14ac:dyDescent="0.45">
      <c r="A1" s="18" t="s">
        <v>52</v>
      </c>
      <c r="C1" s="20">
        <f>Data!B2</f>
        <v>46091.357220196762</v>
      </c>
      <c r="H1" s="20"/>
      <c r="J1" s="20"/>
      <c r="K1" s="21"/>
      <c r="L1" s="22"/>
    </row>
    <row r="2" spans="1:13" ht="25.5" customHeight="1" x14ac:dyDescent="0.5">
      <c r="A2" s="23" t="str">
        <f>Data!B1</f>
        <v>Escuela de Ingenieria Electrica UCR</v>
      </c>
      <c r="H2" s="24"/>
      <c r="I2" s="24"/>
      <c r="J2" s="24"/>
      <c r="K2" s="25"/>
      <c r="L2" s="26"/>
    </row>
    <row r="3" spans="1:13" ht="17.45" customHeight="1" x14ac:dyDescent="0.3">
      <c r="A3" s="34"/>
    </row>
    <row r="4" spans="1:13" ht="17.45" customHeight="1" x14ac:dyDescent="0.3">
      <c r="A4" s="38" t="s">
        <v>34</v>
      </c>
      <c r="B4" s="38"/>
      <c r="C4" s="16"/>
    </row>
    <row r="5" spans="1:13" ht="17.45" customHeight="1" x14ac:dyDescent="0.3">
      <c r="A5" s="29" t="s">
        <v>136</v>
      </c>
      <c r="B5" s="30">
        <f>Data!B3</f>
        <v>46087</v>
      </c>
      <c r="C5" s="16"/>
    </row>
    <row r="6" spans="1:13" ht="17.45" customHeight="1" x14ac:dyDescent="0.3">
      <c r="A6" s="29" t="s">
        <v>140</v>
      </c>
      <c r="B6" s="30">
        <f>Data!B4</f>
        <v>46087.433321759258</v>
      </c>
      <c r="C6" s="16"/>
    </row>
    <row r="7" spans="1:13" ht="17.45" customHeight="1" x14ac:dyDescent="0.3">
      <c r="A7" s="29" t="s">
        <v>197</v>
      </c>
      <c r="B7" s="31">
        <f>B6-B5</f>
        <v>0.43332175925752381</v>
      </c>
      <c r="C7" s="16"/>
    </row>
    <row r="8" spans="1:13" ht="17.45" customHeight="1" x14ac:dyDescent="0.3">
      <c r="A8" s="32"/>
      <c r="B8" s="33"/>
      <c r="C8" s="16"/>
    </row>
    <row r="9" spans="1:13" ht="17.45" customHeight="1" x14ac:dyDescent="0.3">
      <c r="A9" s="27" t="s">
        <v>114</v>
      </c>
      <c r="B9" s="30" t="str">
        <f>Data!B5</f>
        <v>America/Costa_Rica</v>
      </c>
      <c r="C9" s="16"/>
    </row>
    <row r="10" spans="1:13" ht="17.45" customHeight="1" x14ac:dyDescent="0.3">
      <c r="C10" s="17"/>
    </row>
    <row r="11" spans="1:13" ht="17.45" hidden="1" customHeight="1" x14ac:dyDescent="0.3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3" s="10" customFormat="1" ht="17.45" customHeight="1" x14ac:dyDescent="0.3">
      <c r="A12" s="37" t="s">
        <v>27</v>
      </c>
      <c r="B12" s="37" t="s">
        <v>31</v>
      </c>
      <c r="C12" s="37" t="s">
        <v>34</v>
      </c>
      <c r="D12" s="37" t="s">
        <v>37</v>
      </c>
      <c r="E12" s="37" t="s">
        <v>40</v>
      </c>
      <c r="F12" s="37" t="s">
        <v>44</v>
      </c>
      <c r="G12" s="37" t="s">
        <v>48</v>
      </c>
      <c r="H12" s="35"/>
      <c r="I12" s="35"/>
      <c r="J12" s="35"/>
      <c r="K12" s="35"/>
      <c r="L12" s="35"/>
      <c r="M12" s="35"/>
    </row>
    <row r="13" spans="1:13" x14ac:dyDescent="0.3">
      <c r="A13" s="35" t="s">
        <v>346</v>
      </c>
      <c r="B13" s="35" t="s">
        <v>348</v>
      </c>
      <c r="C13" s="36">
        <v>46087.291261574072</v>
      </c>
      <c r="D13" s="35" t="s">
        <v>350</v>
      </c>
      <c r="E13" s="35" t="s">
        <v>95</v>
      </c>
      <c r="F13" s="35">
        <v>0</v>
      </c>
      <c r="G13" s="35" t="s">
        <v>367</v>
      </c>
      <c r="H13" s="35"/>
      <c r="I13" s="35"/>
      <c r="J13" s="35"/>
      <c r="K13" s="35"/>
      <c r="L13" s="35"/>
      <c r="M13" s="35"/>
    </row>
    <row r="14" spans="1:13" x14ac:dyDescent="0.3">
      <c r="A14" s="35"/>
      <c r="B14" s="35"/>
      <c r="C14" s="35"/>
      <c r="D14" s="35" t="s">
        <v>357</v>
      </c>
      <c r="E14" s="35" t="s">
        <v>95</v>
      </c>
      <c r="F14" s="35">
        <v>0</v>
      </c>
      <c r="G14" s="35" t="s">
        <v>368</v>
      </c>
      <c r="H14" s="35"/>
      <c r="I14" s="35"/>
      <c r="J14" s="35"/>
      <c r="K14" s="35"/>
      <c r="L14" s="35"/>
      <c r="M14" s="35"/>
    </row>
    <row r="15" spans="1:13" x14ac:dyDescent="0.3">
      <c r="A15" s="35"/>
      <c r="B15" s="35"/>
      <c r="C15" s="35"/>
      <c r="D15" s="35" t="s">
        <v>362</v>
      </c>
      <c r="E15" s="35" t="s">
        <v>95</v>
      </c>
      <c r="F15" s="35">
        <v>0</v>
      </c>
      <c r="G15" s="35" t="s">
        <v>369</v>
      </c>
      <c r="H15" s="35"/>
      <c r="I15" s="35"/>
      <c r="J15" s="35"/>
      <c r="K15" s="35"/>
      <c r="L15" s="35"/>
      <c r="M15" s="35"/>
    </row>
    <row r="16" spans="1:13" x14ac:dyDescent="0.3">
      <c r="A16" s="35"/>
      <c r="B16" s="35"/>
      <c r="C16" s="36">
        <v>46087.292881944442</v>
      </c>
      <c r="D16" s="35" t="s">
        <v>350</v>
      </c>
      <c r="E16" s="35" t="s">
        <v>95</v>
      </c>
      <c r="F16" s="35">
        <v>0</v>
      </c>
      <c r="G16" s="35" t="s">
        <v>367</v>
      </c>
      <c r="H16" s="35"/>
      <c r="I16" s="35"/>
      <c r="J16" s="35"/>
      <c r="K16" s="35"/>
      <c r="L16" s="35"/>
      <c r="M16" s="35"/>
    </row>
    <row r="17" spans="1:13" x14ac:dyDescent="0.3">
      <c r="A17" s="35"/>
      <c r="B17" s="35"/>
      <c r="C17" s="36">
        <v>46087.292974537035</v>
      </c>
      <c r="D17" s="35" t="s">
        <v>357</v>
      </c>
      <c r="E17" s="35" t="s">
        <v>95</v>
      </c>
      <c r="F17" s="35">
        <v>0</v>
      </c>
      <c r="G17" s="35" t="s">
        <v>368</v>
      </c>
      <c r="H17" s="35"/>
      <c r="I17" s="35"/>
      <c r="J17" s="35"/>
      <c r="K17" s="35"/>
      <c r="L17" s="35"/>
      <c r="M17" s="35"/>
    </row>
    <row r="18" spans="1:13" x14ac:dyDescent="0.3">
      <c r="A18" s="35"/>
      <c r="B18" s="35"/>
      <c r="C18" s="35"/>
      <c r="D18" s="35" t="s">
        <v>362</v>
      </c>
      <c r="E18" s="35" t="s">
        <v>95</v>
      </c>
      <c r="F18" s="35">
        <v>0</v>
      </c>
      <c r="G18" s="35" t="s">
        <v>370</v>
      </c>
      <c r="H18" s="35"/>
      <c r="I18" s="35"/>
      <c r="J18" s="35"/>
      <c r="K18" s="35"/>
      <c r="L18" s="35"/>
      <c r="M18" s="35"/>
    </row>
    <row r="19" spans="1:13" x14ac:dyDescent="0.3">
      <c r="A19" s="35"/>
      <c r="B19" s="35"/>
      <c r="C19" s="36">
        <v>46087.297997685186</v>
      </c>
      <c r="D19" s="35" t="s">
        <v>350</v>
      </c>
      <c r="E19" s="35" t="s">
        <v>95</v>
      </c>
      <c r="F19" s="35">
        <v>0</v>
      </c>
      <c r="G19" s="35" t="s">
        <v>367</v>
      </c>
      <c r="H19" s="35"/>
      <c r="I19" s="35"/>
      <c r="J19" s="35"/>
      <c r="K19" s="35"/>
      <c r="L19" s="35"/>
      <c r="M19" s="35"/>
    </row>
    <row r="20" spans="1:13" x14ac:dyDescent="0.3">
      <c r="A20" s="35"/>
      <c r="B20" s="35"/>
      <c r="C20" s="35"/>
      <c r="D20" s="35" t="s">
        <v>357</v>
      </c>
      <c r="E20" s="35" t="s">
        <v>95</v>
      </c>
      <c r="F20" s="35">
        <v>0</v>
      </c>
      <c r="G20" s="35" t="s">
        <v>368</v>
      </c>
      <c r="H20" s="35"/>
      <c r="I20" s="35"/>
      <c r="J20" s="35"/>
      <c r="K20" s="35"/>
      <c r="L20" s="35"/>
      <c r="M20" s="35"/>
    </row>
    <row r="21" spans="1:13" x14ac:dyDescent="0.3">
      <c r="A21" s="35"/>
      <c r="B21" s="35"/>
      <c r="C21" s="35"/>
      <c r="D21" s="35" t="s">
        <v>362</v>
      </c>
      <c r="E21" s="35" t="s">
        <v>95</v>
      </c>
      <c r="F21" s="35">
        <v>0</v>
      </c>
      <c r="G21" s="35" t="s">
        <v>371</v>
      </c>
      <c r="H21" s="35"/>
      <c r="I21" s="35"/>
      <c r="J21" s="35"/>
      <c r="K21" s="35"/>
      <c r="L21" s="35"/>
      <c r="M21" s="35"/>
    </row>
    <row r="22" spans="1:13" x14ac:dyDescent="0.3">
      <c r="A22" s="35"/>
      <c r="B22" s="35"/>
      <c r="C22" s="36">
        <v>46087.298842592594</v>
      </c>
      <c r="D22" s="35" t="s">
        <v>362</v>
      </c>
      <c r="E22" s="35" t="s">
        <v>95</v>
      </c>
      <c r="F22" s="35">
        <v>0</v>
      </c>
      <c r="G22" s="35" t="s">
        <v>372</v>
      </c>
      <c r="H22" s="35"/>
      <c r="I22" s="35"/>
      <c r="J22" s="35"/>
      <c r="K22" s="35"/>
      <c r="L22" s="35"/>
      <c r="M22" s="35"/>
    </row>
    <row r="23" spans="1:13" x14ac:dyDescent="0.3">
      <c r="A23" s="35"/>
      <c r="B23" s="35"/>
      <c r="C23" s="36">
        <v>46087.29892361111</v>
      </c>
      <c r="D23" s="35" t="s">
        <v>362</v>
      </c>
      <c r="E23" s="35" t="s">
        <v>95</v>
      </c>
      <c r="F23" s="35">
        <v>0</v>
      </c>
      <c r="G23" s="35" t="s">
        <v>373</v>
      </c>
      <c r="H23" s="35"/>
      <c r="I23" s="35"/>
      <c r="J23" s="35"/>
      <c r="K23" s="35"/>
      <c r="L23" s="35"/>
      <c r="M23" s="35"/>
    </row>
    <row r="24" spans="1:13" x14ac:dyDescent="0.3">
      <c r="A24" s="35"/>
      <c r="B24" s="35"/>
      <c r="C24" s="36">
        <v>46087.299004629633</v>
      </c>
      <c r="D24" s="35" t="s">
        <v>362</v>
      </c>
      <c r="E24" s="35" t="s">
        <v>95</v>
      </c>
      <c r="F24" s="35">
        <v>0</v>
      </c>
      <c r="G24" s="35" t="s">
        <v>374</v>
      </c>
      <c r="H24" s="35"/>
      <c r="I24" s="35"/>
      <c r="J24" s="35"/>
      <c r="K24" s="35"/>
      <c r="L24" s="35"/>
      <c r="M24" s="35"/>
    </row>
    <row r="25" spans="1:13" x14ac:dyDescent="0.3">
      <c r="A25" s="35"/>
      <c r="B25" s="35"/>
      <c r="C25" s="36">
        <v>46087.299074074072</v>
      </c>
      <c r="D25" s="35" t="s">
        <v>362</v>
      </c>
      <c r="E25" s="35" t="s">
        <v>95</v>
      </c>
      <c r="F25" s="35">
        <v>0</v>
      </c>
      <c r="G25" s="35" t="s">
        <v>375</v>
      </c>
      <c r="H25" s="35"/>
      <c r="I25" s="35"/>
      <c r="J25" s="35"/>
      <c r="K25" s="35"/>
      <c r="L25" s="35"/>
      <c r="M25" s="35"/>
    </row>
    <row r="26" spans="1:13" x14ac:dyDescent="0.3">
      <c r="A26" s="35"/>
      <c r="B26" s="35"/>
      <c r="C26" s="36">
        <v>46087.29923611111</v>
      </c>
      <c r="D26" s="35" t="s">
        <v>362</v>
      </c>
      <c r="E26" s="35" t="s">
        <v>95</v>
      </c>
      <c r="F26" s="35">
        <v>0</v>
      </c>
      <c r="G26" s="35" t="s">
        <v>376</v>
      </c>
      <c r="H26" s="35"/>
      <c r="I26" s="35"/>
      <c r="J26" s="35"/>
      <c r="K26" s="35"/>
      <c r="L26" s="35"/>
      <c r="M26" s="35"/>
    </row>
    <row r="27" spans="1:13" x14ac:dyDescent="0.3">
      <c r="A27" s="35"/>
      <c r="B27" s="35"/>
      <c r="C27" s="36">
        <v>46087.29928240741</v>
      </c>
      <c r="D27" s="35" t="s">
        <v>362</v>
      </c>
      <c r="E27" s="35" t="s">
        <v>95</v>
      </c>
      <c r="F27" s="35">
        <v>0</v>
      </c>
      <c r="G27" s="35" t="s">
        <v>377</v>
      </c>
      <c r="H27" s="35"/>
      <c r="I27" s="35"/>
      <c r="J27" s="35"/>
      <c r="K27" s="35"/>
      <c r="L27" s="35"/>
      <c r="M27" s="35"/>
    </row>
    <row r="28" spans="1:13" x14ac:dyDescent="0.3">
      <c r="A28" s="35"/>
      <c r="B28" s="35"/>
      <c r="C28" s="36">
        <v>46087.299745370372</v>
      </c>
      <c r="D28" s="35" t="s">
        <v>362</v>
      </c>
      <c r="E28" s="35" t="s">
        <v>95</v>
      </c>
      <c r="F28" s="35">
        <v>0</v>
      </c>
      <c r="G28" s="35" t="s">
        <v>378</v>
      </c>
      <c r="H28" s="35"/>
      <c r="I28" s="35"/>
      <c r="J28" s="35"/>
      <c r="K28" s="35"/>
      <c r="L28" s="35"/>
      <c r="M28" s="35"/>
    </row>
    <row r="29" spans="1:13" x14ac:dyDescent="0.3">
      <c r="A29" s="35"/>
      <c r="B29" s="35"/>
      <c r="C29" s="36">
        <v>46087.299849537034</v>
      </c>
      <c r="D29" s="35" t="s">
        <v>362</v>
      </c>
      <c r="E29" s="35" t="s">
        <v>95</v>
      </c>
      <c r="F29" s="35">
        <v>0</v>
      </c>
      <c r="G29" s="35" t="s">
        <v>379</v>
      </c>
      <c r="H29" s="35"/>
      <c r="I29" s="35"/>
      <c r="J29" s="35"/>
      <c r="K29" s="35"/>
      <c r="L29" s="35"/>
      <c r="M29" s="35"/>
    </row>
    <row r="30" spans="1:13" x14ac:dyDescent="0.3">
      <c r="A30" s="35"/>
      <c r="B30" s="35"/>
      <c r="C30" s="36">
        <v>46087.299895833334</v>
      </c>
      <c r="D30" s="35" t="s">
        <v>362</v>
      </c>
      <c r="E30" s="35" t="s">
        <v>95</v>
      </c>
      <c r="F30" s="35">
        <v>0</v>
      </c>
      <c r="G30" s="35" t="s">
        <v>380</v>
      </c>
      <c r="H30" s="35"/>
      <c r="I30" s="35"/>
      <c r="J30" s="35"/>
      <c r="K30" s="35"/>
      <c r="L30" s="35"/>
      <c r="M30" s="35"/>
    </row>
    <row r="31" spans="1:13" x14ac:dyDescent="0.3">
      <c r="A31" s="35"/>
      <c r="B31" s="35"/>
      <c r="C31" s="36">
        <v>46087.299988425926</v>
      </c>
      <c r="D31" s="35" t="s">
        <v>362</v>
      </c>
      <c r="E31" s="35" t="s">
        <v>95</v>
      </c>
      <c r="F31" s="35">
        <v>0</v>
      </c>
      <c r="G31" s="35" t="s">
        <v>381</v>
      </c>
      <c r="H31" s="35"/>
      <c r="I31" s="35"/>
      <c r="J31" s="35"/>
      <c r="K31" s="35"/>
      <c r="L31" s="35"/>
      <c r="M31" s="35"/>
    </row>
    <row r="32" spans="1:13" x14ac:dyDescent="0.3">
      <c r="A32" s="35"/>
      <c r="B32" s="35"/>
      <c r="C32" s="36">
        <v>46087.300034722219</v>
      </c>
      <c r="D32" s="35" t="s">
        <v>362</v>
      </c>
      <c r="E32" s="35" t="s">
        <v>95</v>
      </c>
      <c r="F32" s="35">
        <v>0</v>
      </c>
      <c r="G32" s="35" t="s">
        <v>382</v>
      </c>
      <c r="H32" s="35"/>
      <c r="I32" s="35"/>
      <c r="J32" s="35"/>
      <c r="K32" s="35"/>
      <c r="L32" s="35"/>
      <c r="M32" s="35"/>
    </row>
    <row r="33" spans="1:13" x14ac:dyDescent="0.3">
      <c r="A33" s="35"/>
      <c r="B33" s="35"/>
      <c r="C33" s="36">
        <v>46087.300185185188</v>
      </c>
      <c r="D33" s="35" t="s">
        <v>362</v>
      </c>
      <c r="E33" s="35" t="s">
        <v>95</v>
      </c>
      <c r="F33" s="35">
        <v>0</v>
      </c>
      <c r="G33" s="35" t="s">
        <v>383</v>
      </c>
      <c r="H33" s="35"/>
      <c r="I33" s="35"/>
      <c r="J33" s="35"/>
      <c r="K33" s="35"/>
      <c r="L33" s="35"/>
      <c r="M33" s="35"/>
    </row>
    <row r="34" spans="1:13" x14ac:dyDescent="0.3">
      <c r="A34" s="35"/>
      <c r="B34" s="35"/>
      <c r="C34" s="36">
        <v>46087.300266203703</v>
      </c>
      <c r="D34" s="35" t="s">
        <v>362</v>
      </c>
      <c r="E34" s="35" t="s">
        <v>95</v>
      </c>
      <c r="F34" s="35">
        <v>0</v>
      </c>
      <c r="G34" s="35" t="s">
        <v>384</v>
      </c>
      <c r="H34" s="35"/>
      <c r="I34" s="35"/>
      <c r="J34" s="35"/>
      <c r="K34" s="35"/>
      <c r="L34" s="35"/>
      <c r="M34" s="35"/>
    </row>
    <row r="35" spans="1:13" x14ac:dyDescent="0.3">
      <c r="A35" s="35"/>
      <c r="B35" s="35"/>
      <c r="C35" s="36">
        <v>46087.30027777778</v>
      </c>
      <c r="D35" s="35" t="s">
        <v>362</v>
      </c>
      <c r="E35" s="35" t="s">
        <v>95</v>
      </c>
      <c r="F35" s="35">
        <v>0</v>
      </c>
      <c r="G35" s="35" t="s">
        <v>385</v>
      </c>
      <c r="H35" s="35"/>
      <c r="I35" s="35"/>
      <c r="J35" s="35"/>
      <c r="K35" s="35"/>
      <c r="L35" s="35"/>
      <c r="M35" s="35"/>
    </row>
    <row r="36" spans="1:13" x14ac:dyDescent="0.3">
      <c r="A36" s="35"/>
      <c r="B36" s="35"/>
      <c r="C36" s="36">
        <v>46087.301747685182</v>
      </c>
      <c r="D36" s="35" t="s">
        <v>362</v>
      </c>
      <c r="E36" s="35" t="s">
        <v>95</v>
      </c>
      <c r="F36" s="35">
        <v>0</v>
      </c>
      <c r="G36" s="35" t="s">
        <v>386</v>
      </c>
      <c r="H36" s="35"/>
      <c r="I36" s="35"/>
      <c r="J36" s="35"/>
      <c r="K36" s="35"/>
      <c r="L36" s="35"/>
      <c r="M36" s="35"/>
    </row>
    <row r="37" spans="1:13" x14ac:dyDescent="0.3">
      <c r="A37" s="35"/>
      <c r="B37" s="35"/>
      <c r="C37" s="36">
        <v>46087.301828703705</v>
      </c>
      <c r="D37" s="35" t="s">
        <v>362</v>
      </c>
      <c r="E37" s="35" t="s">
        <v>95</v>
      </c>
      <c r="F37" s="35">
        <v>0</v>
      </c>
      <c r="G37" s="35" t="s">
        <v>387</v>
      </c>
      <c r="H37" s="35"/>
      <c r="I37" s="35"/>
      <c r="J37" s="35"/>
      <c r="K37" s="35"/>
      <c r="L37" s="35"/>
      <c r="M37" s="35"/>
    </row>
    <row r="38" spans="1:13" x14ac:dyDescent="0.3">
      <c r="A38" s="35"/>
      <c r="B38" s="35"/>
      <c r="C38" s="36">
        <v>46087.301898148151</v>
      </c>
      <c r="D38" s="35" t="s">
        <v>362</v>
      </c>
      <c r="E38" s="35" t="s">
        <v>95</v>
      </c>
      <c r="F38" s="35">
        <v>0</v>
      </c>
      <c r="G38" s="35" t="s">
        <v>388</v>
      </c>
      <c r="H38" s="35"/>
      <c r="I38" s="35"/>
      <c r="J38" s="35"/>
      <c r="K38" s="35"/>
      <c r="L38" s="35"/>
      <c r="M38" s="35"/>
    </row>
    <row r="39" spans="1:13" x14ac:dyDescent="0.3">
      <c r="A39" s="35"/>
      <c r="B39" s="35"/>
      <c r="C39" s="36">
        <v>46087.301979166667</v>
      </c>
      <c r="D39" s="35" t="s">
        <v>362</v>
      </c>
      <c r="E39" s="35" t="s">
        <v>95</v>
      </c>
      <c r="F39" s="35">
        <v>0</v>
      </c>
      <c r="G39" s="35" t="s">
        <v>389</v>
      </c>
      <c r="H39" s="35"/>
      <c r="I39" s="35"/>
      <c r="J39" s="35"/>
      <c r="K39" s="35"/>
      <c r="L39" s="35"/>
      <c r="M39" s="35"/>
    </row>
    <row r="40" spans="1:13" x14ac:dyDescent="0.3">
      <c r="A40" s="35"/>
      <c r="B40" s="35"/>
      <c r="C40" s="36">
        <v>46087.302025462966</v>
      </c>
      <c r="D40" s="35" t="s">
        <v>362</v>
      </c>
      <c r="E40" s="35" t="s">
        <v>95</v>
      </c>
      <c r="F40" s="35">
        <v>0</v>
      </c>
      <c r="G40" s="35" t="s">
        <v>390</v>
      </c>
      <c r="H40" s="35"/>
      <c r="I40" s="35"/>
      <c r="J40" s="35"/>
      <c r="K40" s="35"/>
      <c r="L40" s="35"/>
      <c r="M40" s="35"/>
    </row>
    <row r="41" spans="1:13" x14ac:dyDescent="0.3">
      <c r="A41" s="35"/>
      <c r="B41" s="35"/>
      <c r="C41" s="36">
        <v>46087.302048611113</v>
      </c>
      <c r="D41" s="35" t="s">
        <v>362</v>
      </c>
      <c r="E41" s="35" t="s">
        <v>95</v>
      </c>
      <c r="F41" s="35">
        <v>0</v>
      </c>
      <c r="G41" s="35" t="s">
        <v>391</v>
      </c>
      <c r="H41" s="35"/>
      <c r="I41" s="35"/>
      <c r="J41" s="35"/>
      <c r="K41" s="35"/>
      <c r="L41" s="35"/>
      <c r="M41" s="35"/>
    </row>
    <row r="42" spans="1:13" x14ac:dyDescent="0.3">
      <c r="A42" s="35"/>
      <c r="B42" s="35"/>
      <c r="C42" s="36">
        <v>46087.302199074074</v>
      </c>
      <c r="D42" s="35" t="s">
        <v>362</v>
      </c>
      <c r="E42" s="35" t="s">
        <v>95</v>
      </c>
      <c r="F42" s="35">
        <v>0</v>
      </c>
      <c r="G42" s="35" t="s">
        <v>392</v>
      </c>
      <c r="H42" s="35"/>
      <c r="I42" s="35"/>
      <c r="J42" s="35"/>
      <c r="K42" s="35"/>
      <c r="L42" s="35"/>
      <c r="M42" s="35"/>
    </row>
    <row r="43" spans="1:13" x14ac:dyDescent="0.3">
      <c r="A43" s="35"/>
      <c r="B43" s="35"/>
      <c r="C43" s="36">
        <v>46087.302222222221</v>
      </c>
      <c r="D43" s="35" t="s">
        <v>362</v>
      </c>
      <c r="E43" s="35" t="s">
        <v>95</v>
      </c>
      <c r="F43" s="35">
        <v>0</v>
      </c>
      <c r="G43" s="35" t="s">
        <v>393</v>
      </c>
      <c r="H43" s="35"/>
      <c r="I43" s="35"/>
      <c r="J43" s="35"/>
      <c r="K43" s="35"/>
      <c r="L43" s="35"/>
      <c r="M43" s="35"/>
    </row>
    <row r="44" spans="1:13" x14ac:dyDescent="0.3">
      <c r="A44" s="35"/>
      <c r="B44" s="35"/>
      <c r="C44" s="36">
        <v>46087.30232638889</v>
      </c>
      <c r="D44" s="35" t="s">
        <v>362</v>
      </c>
      <c r="E44" s="35" t="s">
        <v>95</v>
      </c>
      <c r="F44" s="35">
        <v>0</v>
      </c>
      <c r="G44" s="35" t="s">
        <v>394</v>
      </c>
      <c r="H44" s="35"/>
      <c r="I44" s="35"/>
      <c r="J44" s="35"/>
      <c r="K44" s="35"/>
      <c r="L44" s="35"/>
      <c r="M44" s="35"/>
    </row>
    <row r="45" spans="1:13" x14ac:dyDescent="0.3">
      <c r="A45" s="35"/>
      <c r="B45" s="35"/>
      <c r="C45" s="36">
        <v>46087.30263888889</v>
      </c>
      <c r="D45" s="35" t="s">
        <v>362</v>
      </c>
      <c r="E45" s="35" t="s">
        <v>95</v>
      </c>
      <c r="F45" s="35">
        <v>0</v>
      </c>
      <c r="G45" s="35" t="s">
        <v>395</v>
      </c>
      <c r="H45" s="35"/>
      <c r="I45" s="35"/>
      <c r="J45" s="35"/>
      <c r="K45" s="35"/>
      <c r="L45" s="35"/>
      <c r="M45" s="35"/>
    </row>
    <row r="46" spans="1:13" x14ac:dyDescent="0.3">
      <c r="A46" s="35"/>
      <c r="B46" s="35"/>
      <c r="C46" s="36">
        <v>46087.30265046296</v>
      </c>
      <c r="D46" s="35" t="s">
        <v>350</v>
      </c>
      <c r="E46" s="35" t="s">
        <v>95</v>
      </c>
      <c r="F46" s="35">
        <v>0</v>
      </c>
      <c r="G46" s="35" t="s">
        <v>396</v>
      </c>
      <c r="H46" s="35"/>
      <c r="I46" s="35"/>
      <c r="J46" s="35"/>
      <c r="K46" s="35"/>
      <c r="L46" s="35"/>
      <c r="M46" s="35"/>
    </row>
    <row r="47" spans="1:13" x14ac:dyDescent="0.3">
      <c r="A47" s="35"/>
      <c r="B47" s="35"/>
      <c r="C47" s="36">
        <v>46087.302662037036</v>
      </c>
      <c r="D47" s="35" t="s">
        <v>362</v>
      </c>
      <c r="E47" s="35" t="s">
        <v>95</v>
      </c>
      <c r="F47" s="35">
        <v>0</v>
      </c>
      <c r="G47" s="35" t="s">
        <v>397</v>
      </c>
      <c r="H47" s="35"/>
      <c r="I47" s="35"/>
      <c r="J47" s="35"/>
      <c r="K47" s="35"/>
      <c r="L47" s="35"/>
      <c r="M47" s="35"/>
    </row>
    <row r="48" spans="1:13" x14ac:dyDescent="0.3">
      <c r="A48" s="35"/>
      <c r="B48" s="35"/>
      <c r="C48" s="36">
        <v>46087.302893518521</v>
      </c>
      <c r="D48" s="35" t="s">
        <v>362</v>
      </c>
      <c r="E48" s="35" t="s">
        <v>95</v>
      </c>
      <c r="F48" s="35">
        <v>0</v>
      </c>
      <c r="G48" s="35" t="s">
        <v>398</v>
      </c>
      <c r="H48" s="35"/>
      <c r="I48" s="35"/>
      <c r="J48" s="35"/>
      <c r="K48" s="35"/>
      <c r="L48" s="35"/>
      <c r="M48" s="35"/>
    </row>
    <row r="49" spans="1:13" x14ac:dyDescent="0.3">
      <c r="A49" s="35"/>
      <c r="B49" s="35"/>
      <c r="C49" s="36">
        <v>46087.302951388891</v>
      </c>
      <c r="D49" s="35" t="s">
        <v>362</v>
      </c>
      <c r="E49" s="35" t="s">
        <v>95</v>
      </c>
      <c r="F49" s="35">
        <v>0</v>
      </c>
      <c r="G49" s="35" t="s">
        <v>399</v>
      </c>
      <c r="H49" s="35"/>
      <c r="I49" s="35"/>
      <c r="J49" s="35"/>
      <c r="K49" s="35"/>
      <c r="L49" s="35"/>
      <c r="M49" s="35"/>
    </row>
    <row r="50" spans="1:13" x14ac:dyDescent="0.3">
      <c r="A50" s="35"/>
      <c r="B50" s="35"/>
      <c r="C50" s="36">
        <v>46087.302997685183</v>
      </c>
      <c r="D50" s="35" t="s">
        <v>362</v>
      </c>
      <c r="E50" s="35" t="s">
        <v>95</v>
      </c>
      <c r="F50" s="35">
        <v>0</v>
      </c>
      <c r="G50" s="35" t="s">
        <v>400</v>
      </c>
      <c r="H50" s="35"/>
      <c r="I50" s="35"/>
      <c r="J50" s="35"/>
      <c r="K50" s="35"/>
      <c r="L50" s="35"/>
      <c r="M50" s="35"/>
    </row>
    <row r="51" spans="1:13" x14ac:dyDescent="0.3">
      <c r="A51" s="35"/>
      <c r="B51" s="35"/>
      <c r="C51" s="36">
        <v>46087.303055555552</v>
      </c>
      <c r="D51" s="35" t="s">
        <v>362</v>
      </c>
      <c r="E51" s="35" t="s">
        <v>95</v>
      </c>
      <c r="F51" s="35">
        <v>0</v>
      </c>
      <c r="G51" s="35" t="s">
        <v>401</v>
      </c>
      <c r="H51" s="35"/>
      <c r="I51" s="35"/>
      <c r="J51" s="35"/>
      <c r="K51" s="35"/>
      <c r="L51" s="35"/>
      <c r="M51" s="35"/>
    </row>
    <row r="52" spans="1:13" x14ac:dyDescent="0.3">
      <c r="A52" s="35"/>
      <c r="B52" s="35"/>
      <c r="C52" s="36">
        <v>46087.303217592591</v>
      </c>
      <c r="D52" s="35" t="s">
        <v>362</v>
      </c>
      <c r="E52" s="35" t="s">
        <v>95</v>
      </c>
      <c r="F52" s="35">
        <v>0</v>
      </c>
      <c r="G52" s="35" t="s">
        <v>402</v>
      </c>
      <c r="H52" s="35"/>
      <c r="I52" s="35"/>
      <c r="J52" s="35"/>
      <c r="K52" s="35"/>
      <c r="L52" s="35"/>
      <c r="M52" s="35"/>
    </row>
    <row r="53" spans="1:13" x14ac:dyDescent="0.3">
      <c r="A53" s="35"/>
      <c r="B53" s="35"/>
      <c r="C53" s="36">
        <v>46087.305312500001</v>
      </c>
      <c r="D53" s="35" t="s">
        <v>362</v>
      </c>
      <c r="E53" s="35" t="s">
        <v>95</v>
      </c>
      <c r="F53" s="35">
        <v>0</v>
      </c>
      <c r="G53" s="35" t="s">
        <v>403</v>
      </c>
      <c r="H53" s="35"/>
      <c r="I53" s="35"/>
      <c r="J53" s="35"/>
      <c r="K53" s="35"/>
      <c r="L53" s="35"/>
      <c r="M53" s="35"/>
    </row>
    <row r="54" spans="1:13" x14ac:dyDescent="0.3">
      <c r="A54" s="35"/>
      <c r="B54" s="35"/>
      <c r="C54" s="36">
        <v>46087.305393518516</v>
      </c>
      <c r="D54" s="35" t="s">
        <v>362</v>
      </c>
      <c r="E54" s="35" t="s">
        <v>95</v>
      </c>
      <c r="F54" s="35">
        <v>0</v>
      </c>
      <c r="G54" s="35" t="s">
        <v>404</v>
      </c>
      <c r="H54" s="35"/>
      <c r="I54" s="35"/>
      <c r="J54" s="35"/>
      <c r="K54" s="35"/>
      <c r="L54" s="35"/>
      <c r="M54" s="35"/>
    </row>
    <row r="55" spans="1:13" x14ac:dyDescent="0.3">
      <c r="A55" s="35"/>
      <c r="B55" s="35"/>
      <c r="C55" s="36">
        <v>46087.305567129632</v>
      </c>
      <c r="D55" s="35" t="s">
        <v>362</v>
      </c>
      <c r="E55" s="35" t="s">
        <v>95</v>
      </c>
      <c r="F55" s="35">
        <v>0</v>
      </c>
      <c r="G55" s="35" t="s">
        <v>405</v>
      </c>
      <c r="H55" s="35"/>
      <c r="I55" s="35"/>
      <c r="J55" s="35"/>
      <c r="K55" s="35"/>
      <c r="L55" s="35"/>
      <c r="M55" s="35"/>
    </row>
    <row r="56" spans="1:13" x14ac:dyDescent="0.3">
      <c r="A56" s="35"/>
      <c r="B56" s="35"/>
      <c r="C56" s="36">
        <v>46087.305601851855</v>
      </c>
      <c r="D56" s="35" t="s">
        <v>362</v>
      </c>
      <c r="E56" s="35" t="s">
        <v>95</v>
      </c>
      <c r="F56" s="35">
        <v>0</v>
      </c>
      <c r="G56" s="35" t="s">
        <v>406</v>
      </c>
      <c r="H56" s="35"/>
      <c r="I56" s="35"/>
      <c r="J56" s="35"/>
      <c r="K56" s="35"/>
      <c r="L56" s="35"/>
      <c r="M56" s="35"/>
    </row>
    <row r="57" spans="1:13" x14ac:dyDescent="0.3">
      <c r="A57" s="35"/>
      <c r="B57" s="35"/>
      <c r="C57" s="36">
        <v>46087.305648148147</v>
      </c>
      <c r="D57" s="35" t="s">
        <v>362</v>
      </c>
      <c r="E57" s="35" t="s">
        <v>95</v>
      </c>
      <c r="F57" s="35">
        <v>0</v>
      </c>
      <c r="G57" s="35" t="s">
        <v>407</v>
      </c>
      <c r="H57" s="35"/>
      <c r="I57" s="35"/>
      <c r="J57" s="35"/>
      <c r="K57" s="35"/>
      <c r="L57" s="35"/>
      <c r="M57" s="35"/>
    </row>
    <row r="58" spans="1:13" x14ac:dyDescent="0.3">
      <c r="A58" s="35"/>
      <c r="B58" s="35"/>
      <c r="C58" s="36">
        <v>46087.305717592593</v>
      </c>
      <c r="D58" s="35" t="s">
        <v>362</v>
      </c>
      <c r="E58" s="35" t="s">
        <v>95</v>
      </c>
      <c r="F58" s="35">
        <v>0</v>
      </c>
      <c r="G58" s="35" t="s">
        <v>408</v>
      </c>
      <c r="H58" s="35"/>
      <c r="I58" s="35"/>
      <c r="J58" s="35"/>
      <c r="K58" s="35"/>
      <c r="L58" s="35"/>
      <c r="M58" s="35"/>
    </row>
    <row r="59" spans="1:13" x14ac:dyDescent="0.3">
      <c r="A59" s="35"/>
      <c r="B59" s="35"/>
      <c r="C59" s="36">
        <v>46087.305775462963</v>
      </c>
      <c r="D59" s="35" t="s">
        <v>362</v>
      </c>
      <c r="E59" s="35" t="s">
        <v>95</v>
      </c>
      <c r="F59" s="35">
        <v>0</v>
      </c>
      <c r="G59" s="35" t="s">
        <v>409</v>
      </c>
      <c r="H59" s="35"/>
      <c r="I59" s="35"/>
      <c r="J59" s="35"/>
      <c r="K59" s="35"/>
      <c r="L59" s="35"/>
      <c r="M59" s="35"/>
    </row>
    <row r="60" spans="1:13" x14ac:dyDescent="0.3">
      <c r="A60" s="35"/>
      <c r="B60" s="35"/>
      <c r="C60" s="36">
        <v>46087.305856481478</v>
      </c>
      <c r="D60" s="35" t="s">
        <v>362</v>
      </c>
      <c r="E60" s="35" t="s">
        <v>95</v>
      </c>
      <c r="F60" s="35">
        <v>0</v>
      </c>
      <c r="G60" s="35" t="s">
        <v>410</v>
      </c>
      <c r="H60" s="35"/>
      <c r="I60" s="35"/>
      <c r="J60" s="35"/>
      <c r="K60" s="35"/>
      <c r="L60" s="35"/>
      <c r="M60" s="35"/>
    </row>
    <row r="61" spans="1:13" x14ac:dyDescent="0.3">
      <c r="A61" s="35"/>
      <c r="B61" s="35"/>
      <c r="C61" s="36">
        <v>46087.305925925924</v>
      </c>
      <c r="D61" s="35" t="s">
        <v>362</v>
      </c>
      <c r="E61" s="35" t="s">
        <v>95</v>
      </c>
      <c r="F61" s="35">
        <v>0</v>
      </c>
      <c r="G61" s="35" t="s">
        <v>411</v>
      </c>
      <c r="H61" s="35"/>
      <c r="I61" s="35"/>
      <c r="J61" s="35"/>
      <c r="K61" s="35"/>
      <c r="L61" s="35"/>
      <c r="M61" s="35"/>
    </row>
    <row r="62" spans="1:13" x14ac:dyDescent="0.3">
      <c r="A62" s="35"/>
      <c r="B62" s="35"/>
      <c r="C62" s="36">
        <v>46087.30605324074</v>
      </c>
      <c r="D62" s="35" t="s">
        <v>362</v>
      </c>
      <c r="E62" s="35" t="s">
        <v>95</v>
      </c>
      <c r="F62" s="35">
        <v>0</v>
      </c>
      <c r="G62" s="35" t="s">
        <v>412</v>
      </c>
      <c r="H62" s="35"/>
      <c r="I62" s="35"/>
      <c r="J62" s="35"/>
      <c r="K62" s="35"/>
      <c r="L62" s="35"/>
      <c r="M62" s="35"/>
    </row>
    <row r="63" spans="1:13" x14ac:dyDescent="0.3">
      <c r="A63" s="35"/>
      <c r="B63" s="35"/>
      <c r="C63" s="36">
        <v>46087.306111111109</v>
      </c>
      <c r="D63" s="35" t="s">
        <v>362</v>
      </c>
      <c r="E63" s="35" t="s">
        <v>95</v>
      </c>
      <c r="F63" s="35">
        <v>0</v>
      </c>
      <c r="G63" s="35" t="s">
        <v>413</v>
      </c>
      <c r="H63" s="35"/>
      <c r="I63" s="35"/>
      <c r="J63" s="35"/>
      <c r="K63" s="35"/>
      <c r="L63" s="35"/>
      <c r="M63" s="35"/>
    </row>
    <row r="64" spans="1:13" x14ac:dyDescent="0.3">
      <c r="A64" s="35"/>
      <c r="B64" s="35"/>
      <c r="C64" s="36">
        <v>46087.306215277778</v>
      </c>
      <c r="D64" s="35" t="s">
        <v>362</v>
      </c>
      <c r="E64" s="35" t="s">
        <v>95</v>
      </c>
      <c r="F64" s="35">
        <v>0</v>
      </c>
      <c r="G64" s="35" t="s">
        <v>414</v>
      </c>
      <c r="H64" s="35"/>
      <c r="I64" s="35"/>
      <c r="J64" s="35"/>
      <c r="K64" s="35"/>
      <c r="L64" s="35"/>
      <c r="M64" s="35"/>
    </row>
    <row r="65" spans="1:13" x14ac:dyDescent="0.3">
      <c r="A65" s="35"/>
      <c r="B65" s="35"/>
      <c r="C65" s="36">
        <v>46087.306284722225</v>
      </c>
      <c r="D65" s="35" t="s">
        <v>362</v>
      </c>
      <c r="E65" s="35" t="s">
        <v>95</v>
      </c>
      <c r="F65" s="35">
        <v>0</v>
      </c>
      <c r="G65" s="35" t="s">
        <v>415</v>
      </c>
      <c r="H65" s="35"/>
      <c r="I65" s="35"/>
      <c r="J65" s="35"/>
      <c r="K65" s="35"/>
      <c r="L65" s="35"/>
      <c r="M65" s="35"/>
    </row>
    <row r="66" spans="1:13" x14ac:dyDescent="0.3">
      <c r="A66" s="35"/>
      <c r="B66" s="35"/>
      <c r="C66" s="36">
        <v>46087.306469907409</v>
      </c>
      <c r="D66" s="35" t="s">
        <v>362</v>
      </c>
      <c r="E66" s="35" t="s">
        <v>95</v>
      </c>
      <c r="F66" s="35">
        <v>0</v>
      </c>
      <c r="G66" s="35" t="s">
        <v>416</v>
      </c>
      <c r="H66" s="35"/>
      <c r="I66" s="35"/>
      <c r="J66" s="35"/>
      <c r="K66" s="35"/>
      <c r="L66" s="35"/>
      <c r="M66" s="35"/>
    </row>
    <row r="67" spans="1:13" x14ac:dyDescent="0.3">
      <c r="A67" s="35"/>
      <c r="B67" s="35"/>
      <c r="C67" s="36">
        <v>46087.306539351855</v>
      </c>
      <c r="D67" s="35" t="s">
        <v>362</v>
      </c>
      <c r="E67" s="35" t="s">
        <v>95</v>
      </c>
      <c r="F67" s="35">
        <v>0</v>
      </c>
      <c r="G67" s="35" t="s">
        <v>417</v>
      </c>
      <c r="H67" s="35"/>
      <c r="I67" s="35"/>
      <c r="J67" s="35"/>
      <c r="K67" s="35"/>
      <c r="L67" s="35"/>
      <c r="M67" s="35"/>
    </row>
    <row r="68" spans="1:13" x14ac:dyDescent="0.3">
      <c r="A68" s="35"/>
      <c r="B68" s="35"/>
      <c r="C68" s="36">
        <v>46087.307523148149</v>
      </c>
      <c r="D68" s="35" t="s">
        <v>350</v>
      </c>
      <c r="E68" s="35" t="s">
        <v>95</v>
      </c>
      <c r="F68" s="35">
        <v>0</v>
      </c>
      <c r="G68" s="35" t="s">
        <v>418</v>
      </c>
      <c r="H68" s="35"/>
      <c r="I68" s="35"/>
      <c r="J68" s="35"/>
      <c r="K68" s="35"/>
      <c r="L68" s="35"/>
      <c r="M68" s="35"/>
    </row>
    <row r="69" spans="1:13" x14ac:dyDescent="0.3">
      <c r="A69" s="35"/>
      <c r="B69" s="35"/>
      <c r="C69" s="36">
        <v>46087.307696759257</v>
      </c>
      <c r="D69" s="35" t="s">
        <v>357</v>
      </c>
      <c r="E69" s="35" t="s">
        <v>95</v>
      </c>
      <c r="F69" s="35">
        <v>0</v>
      </c>
      <c r="G69" s="35" t="s">
        <v>419</v>
      </c>
      <c r="H69" s="35"/>
      <c r="I69" s="35"/>
      <c r="J69" s="35"/>
      <c r="K69" s="35"/>
      <c r="L69" s="35"/>
      <c r="M69" s="35"/>
    </row>
    <row r="70" spans="1:13" x14ac:dyDescent="0.3">
      <c r="A70" s="35"/>
      <c r="B70" s="35"/>
      <c r="C70" s="35"/>
      <c r="D70" s="35" t="s">
        <v>362</v>
      </c>
      <c r="E70" s="35" t="s">
        <v>95</v>
      </c>
      <c r="F70" s="35">
        <v>0</v>
      </c>
      <c r="G70" s="35" t="s">
        <v>420</v>
      </c>
      <c r="H70" s="35"/>
      <c r="I70" s="35"/>
      <c r="J70" s="35"/>
      <c r="K70" s="35"/>
      <c r="L70" s="35"/>
      <c r="M70" s="35"/>
    </row>
    <row r="71" spans="1:13" x14ac:dyDescent="0.3">
      <c r="A71" s="35"/>
      <c r="B71" s="35"/>
      <c r="C71" s="36">
        <v>46087.351956018516</v>
      </c>
      <c r="D71" s="35" t="s">
        <v>350</v>
      </c>
      <c r="E71" s="35" t="s">
        <v>95</v>
      </c>
      <c r="F71" s="35">
        <v>0</v>
      </c>
      <c r="G71" s="35" t="s">
        <v>418</v>
      </c>
      <c r="H71" s="35"/>
      <c r="I71" s="35"/>
      <c r="J71" s="35"/>
      <c r="K71" s="35"/>
      <c r="L71" s="35"/>
      <c r="M71" s="35"/>
    </row>
    <row r="72" spans="1:13" x14ac:dyDescent="0.3">
      <c r="A72" s="35"/>
      <c r="B72" s="35"/>
      <c r="C72" s="35"/>
      <c r="D72" s="35" t="s">
        <v>357</v>
      </c>
      <c r="E72" s="35" t="s">
        <v>95</v>
      </c>
      <c r="F72" s="35">
        <v>0</v>
      </c>
      <c r="G72" s="35" t="s">
        <v>421</v>
      </c>
      <c r="H72" s="35"/>
      <c r="I72" s="35"/>
      <c r="J72" s="35"/>
      <c r="K72" s="35"/>
      <c r="L72" s="35"/>
      <c r="M72" s="35"/>
    </row>
    <row r="73" spans="1:13" x14ac:dyDescent="0.3">
      <c r="A73" s="35"/>
      <c r="B73" s="35"/>
      <c r="C73" s="35"/>
      <c r="D73" s="35" t="s">
        <v>362</v>
      </c>
      <c r="E73" s="35" t="s">
        <v>95</v>
      </c>
      <c r="F73" s="35">
        <v>0</v>
      </c>
      <c r="G73" s="35" t="s">
        <v>422</v>
      </c>
      <c r="H73" s="35"/>
      <c r="I73" s="35"/>
      <c r="J73" s="35"/>
      <c r="K73" s="35"/>
      <c r="L73" s="35"/>
      <c r="M73" s="35"/>
    </row>
    <row r="74" spans="1:13" x14ac:dyDescent="0.3">
      <c r="A74" s="35"/>
      <c r="B74" s="35"/>
      <c r="C74" s="36">
        <v>46087.355868055558</v>
      </c>
      <c r="D74" s="35" t="s">
        <v>362</v>
      </c>
      <c r="E74" s="35" t="s">
        <v>95</v>
      </c>
      <c r="F74" s="35">
        <v>0</v>
      </c>
      <c r="G74" s="35" t="s">
        <v>423</v>
      </c>
      <c r="H74" s="35"/>
      <c r="I74" s="35"/>
      <c r="J74" s="35"/>
      <c r="K74" s="35"/>
      <c r="L74" s="35"/>
      <c r="M74" s="35"/>
    </row>
    <row r="75" spans="1:13" x14ac:dyDescent="0.3">
      <c r="A75" s="35"/>
      <c r="B75" s="35"/>
      <c r="C75" s="36">
        <v>46087.355983796297</v>
      </c>
      <c r="D75" s="35" t="s">
        <v>362</v>
      </c>
      <c r="E75" s="35" t="s">
        <v>95</v>
      </c>
      <c r="F75" s="35">
        <v>0</v>
      </c>
      <c r="G75" s="35" t="s">
        <v>424</v>
      </c>
      <c r="H75" s="35"/>
      <c r="I75" s="35"/>
      <c r="J75" s="35"/>
      <c r="K75" s="35"/>
      <c r="L75" s="35"/>
      <c r="M75" s="35"/>
    </row>
    <row r="76" spans="1:13" x14ac:dyDescent="0.3">
      <c r="A76" s="35"/>
      <c r="B76" s="35"/>
      <c r="C76" s="36">
        <v>46087.356527777774</v>
      </c>
      <c r="D76" s="35" t="s">
        <v>362</v>
      </c>
      <c r="E76" s="35" t="s">
        <v>95</v>
      </c>
      <c r="F76" s="35">
        <v>0</v>
      </c>
      <c r="G76" s="35" t="s">
        <v>425</v>
      </c>
      <c r="H76" s="35"/>
      <c r="I76" s="35"/>
      <c r="J76" s="35"/>
      <c r="K76" s="35"/>
      <c r="L76" s="35"/>
      <c r="M76" s="35"/>
    </row>
    <row r="77" spans="1:13" x14ac:dyDescent="0.3">
      <c r="A77" s="35"/>
      <c r="B77" s="35"/>
      <c r="C77" s="36">
        <v>46087.35659722222</v>
      </c>
      <c r="D77" s="35" t="s">
        <v>362</v>
      </c>
      <c r="E77" s="35" t="s">
        <v>95</v>
      </c>
      <c r="F77" s="35">
        <v>0</v>
      </c>
      <c r="G77" s="35" t="s">
        <v>426</v>
      </c>
      <c r="H77" s="35"/>
      <c r="I77" s="35"/>
      <c r="J77" s="35"/>
      <c r="K77" s="35"/>
      <c r="L77" s="35"/>
      <c r="M77" s="35"/>
    </row>
    <row r="78" spans="1:13" x14ac:dyDescent="0.3">
      <c r="A78" s="35"/>
      <c r="B78" s="35"/>
      <c r="C78" s="36">
        <v>46087.356620370374</v>
      </c>
      <c r="D78" s="35" t="s">
        <v>362</v>
      </c>
      <c r="E78" s="35" t="s">
        <v>95</v>
      </c>
      <c r="F78" s="35">
        <v>0</v>
      </c>
      <c r="G78" s="35" t="s">
        <v>427</v>
      </c>
      <c r="H78" s="35"/>
      <c r="I78" s="35"/>
      <c r="J78" s="35"/>
      <c r="K78" s="35"/>
      <c r="L78" s="35"/>
      <c r="M78" s="35"/>
    </row>
    <row r="79" spans="1:13" x14ac:dyDescent="0.3">
      <c r="A79" s="35"/>
      <c r="B79" s="35"/>
      <c r="C79" s="36">
        <v>46087.35665509259</v>
      </c>
      <c r="D79" s="35" t="s">
        <v>362</v>
      </c>
      <c r="E79" s="35" t="s">
        <v>95</v>
      </c>
      <c r="F79" s="35">
        <v>0</v>
      </c>
      <c r="G79" s="35" t="s">
        <v>428</v>
      </c>
      <c r="H79" s="35"/>
      <c r="I79" s="35"/>
      <c r="J79" s="35"/>
      <c r="K79" s="35"/>
      <c r="L79" s="35"/>
      <c r="M79" s="35"/>
    </row>
    <row r="80" spans="1:13" x14ac:dyDescent="0.3">
      <c r="A80" s="35"/>
      <c r="B80" s="35"/>
      <c r="C80" s="36">
        <v>46087.356921296298</v>
      </c>
      <c r="D80" s="35" t="s">
        <v>362</v>
      </c>
      <c r="E80" s="35" t="s">
        <v>95</v>
      </c>
      <c r="F80" s="35">
        <v>0</v>
      </c>
      <c r="G80" s="35" t="s">
        <v>429</v>
      </c>
      <c r="H80" s="35"/>
      <c r="I80" s="35"/>
      <c r="J80" s="35"/>
      <c r="K80" s="35"/>
      <c r="L80" s="35"/>
      <c r="M80" s="35"/>
    </row>
    <row r="81" spans="1:13" x14ac:dyDescent="0.3">
      <c r="A81" s="35"/>
      <c r="B81" s="35"/>
      <c r="C81" s="36">
        <v>46087.357187499998</v>
      </c>
      <c r="D81" s="35" t="s">
        <v>362</v>
      </c>
      <c r="E81" s="35" t="s">
        <v>95</v>
      </c>
      <c r="F81" s="35">
        <v>0</v>
      </c>
      <c r="G81" s="35" t="s">
        <v>430</v>
      </c>
      <c r="H81" s="35"/>
      <c r="I81" s="35"/>
      <c r="J81" s="35"/>
      <c r="K81" s="35"/>
      <c r="L81" s="35"/>
      <c r="M81" s="35"/>
    </row>
    <row r="82" spans="1:13" x14ac:dyDescent="0.3">
      <c r="A82" s="35"/>
      <c r="B82" s="35"/>
      <c r="C82" s="36">
        <v>46087.357233796298</v>
      </c>
      <c r="D82" s="35" t="s">
        <v>362</v>
      </c>
      <c r="E82" s="35" t="s">
        <v>95</v>
      </c>
      <c r="F82" s="35">
        <v>0</v>
      </c>
      <c r="G82" s="35" t="s">
        <v>431</v>
      </c>
      <c r="H82" s="35"/>
      <c r="I82" s="35"/>
      <c r="J82" s="35"/>
      <c r="K82" s="35"/>
      <c r="L82" s="35"/>
      <c r="M82" s="35"/>
    </row>
    <row r="83" spans="1:13" x14ac:dyDescent="0.3">
      <c r="A83" s="35"/>
      <c r="B83" s="35"/>
      <c r="C83" s="36">
        <v>46087.357430555552</v>
      </c>
      <c r="D83" s="35" t="s">
        <v>362</v>
      </c>
      <c r="E83" s="35" t="s">
        <v>95</v>
      </c>
      <c r="F83" s="35">
        <v>0</v>
      </c>
      <c r="G83" s="35" t="s">
        <v>432</v>
      </c>
      <c r="H83" s="35"/>
      <c r="I83" s="35"/>
      <c r="J83" s="35"/>
      <c r="K83" s="35"/>
      <c r="L83" s="35"/>
      <c r="M83" s="35"/>
    </row>
    <row r="84" spans="1:13" x14ac:dyDescent="0.3">
      <c r="A84" s="35"/>
      <c r="B84" s="35"/>
      <c r="C84" s="36">
        <v>46087.357986111114</v>
      </c>
      <c r="D84" s="35" t="s">
        <v>362</v>
      </c>
      <c r="E84" s="35" t="s">
        <v>95</v>
      </c>
      <c r="F84" s="35">
        <v>0</v>
      </c>
      <c r="G84" s="35" t="s">
        <v>433</v>
      </c>
      <c r="H84" s="35"/>
      <c r="I84" s="35"/>
      <c r="J84" s="35"/>
      <c r="K84" s="35"/>
      <c r="L84" s="35"/>
      <c r="M84" s="35"/>
    </row>
    <row r="85" spans="1:13" x14ac:dyDescent="0.3">
      <c r="A85" s="35"/>
      <c r="B85" s="35"/>
      <c r="C85" s="36">
        <v>46087.358055555553</v>
      </c>
      <c r="D85" s="35" t="s">
        <v>362</v>
      </c>
      <c r="E85" s="35" t="s">
        <v>95</v>
      </c>
      <c r="F85" s="35">
        <v>0</v>
      </c>
      <c r="G85" s="35" t="s">
        <v>434</v>
      </c>
      <c r="H85" s="35"/>
      <c r="I85" s="35"/>
      <c r="J85" s="35"/>
      <c r="K85" s="35"/>
      <c r="L85" s="35"/>
      <c r="M85" s="35"/>
    </row>
    <row r="86" spans="1:13" x14ac:dyDescent="0.3">
      <c r="A86" s="35"/>
      <c r="B86" s="35"/>
      <c r="C86" s="36">
        <v>46087.358449074076</v>
      </c>
      <c r="D86" s="35" t="s">
        <v>350</v>
      </c>
      <c r="E86" s="35" t="s">
        <v>95</v>
      </c>
      <c r="F86" s="35">
        <v>0</v>
      </c>
      <c r="G86" s="35" t="s">
        <v>435</v>
      </c>
      <c r="H86" s="35"/>
      <c r="I86" s="35"/>
      <c r="J86" s="35"/>
      <c r="K86" s="35"/>
      <c r="L86" s="35"/>
      <c r="M86" s="35"/>
    </row>
    <row r="87" spans="1:13" x14ac:dyDescent="0.3">
      <c r="A87" s="35"/>
      <c r="B87" s="35"/>
      <c r="C87" s="36">
        <v>46087.358576388891</v>
      </c>
      <c r="D87" s="35" t="s">
        <v>362</v>
      </c>
      <c r="E87" s="35" t="s">
        <v>95</v>
      </c>
      <c r="F87" s="35">
        <v>0</v>
      </c>
      <c r="G87" s="35" t="s">
        <v>436</v>
      </c>
      <c r="H87" s="35"/>
      <c r="I87" s="35"/>
      <c r="J87" s="35"/>
      <c r="K87" s="35"/>
      <c r="L87" s="35"/>
      <c r="M87" s="35"/>
    </row>
    <row r="88" spans="1:13" x14ac:dyDescent="0.3">
      <c r="A88" s="35"/>
      <c r="B88" s="35"/>
      <c r="C88" s="36">
        <v>46087.358854166669</v>
      </c>
      <c r="D88" s="35" t="s">
        <v>362</v>
      </c>
      <c r="E88" s="35" t="s">
        <v>95</v>
      </c>
      <c r="F88" s="35">
        <v>0</v>
      </c>
      <c r="G88" s="35" t="s">
        <v>437</v>
      </c>
      <c r="H88" s="35"/>
      <c r="I88" s="35"/>
      <c r="J88" s="35"/>
      <c r="K88" s="35"/>
      <c r="L88" s="35"/>
      <c r="M88" s="35"/>
    </row>
    <row r="89" spans="1:13" x14ac:dyDescent="0.3">
      <c r="A89" s="35"/>
      <c r="B89" s="35"/>
      <c r="C89" s="36">
        <v>46087.3590625</v>
      </c>
      <c r="D89" s="35" t="s">
        <v>362</v>
      </c>
      <c r="E89" s="35" t="s">
        <v>95</v>
      </c>
      <c r="F89" s="35">
        <v>0</v>
      </c>
      <c r="G89" s="35" t="s">
        <v>438</v>
      </c>
      <c r="H89" s="35"/>
      <c r="I89" s="35"/>
      <c r="J89" s="35"/>
      <c r="K89" s="35"/>
      <c r="L89" s="35"/>
      <c r="M89" s="35"/>
    </row>
    <row r="90" spans="1:13" x14ac:dyDescent="0.3">
      <c r="A90" s="35"/>
      <c r="B90" s="35"/>
      <c r="C90" s="36">
        <v>46087.359201388892</v>
      </c>
      <c r="D90" s="35" t="s">
        <v>362</v>
      </c>
      <c r="E90" s="35" t="s">
        <v>95</v>
      </c>
      <c r="F90" s="35">
        <v>0</v>
      </c>
      <c r="G90" s="35" t="s">
        <v>439</v>
      </c>
      <c r="H90" s="35"/>
      <c r="I90" s="35"/>
      <c r="J90" s="35"/>
      <c r="K90" s="35"/>
      <c r="L90" s="35"/>
      <c r="M90" s="35"/>
    </row>
    <row r="91" spans="1:13" x14ac:dyDescent="0.3">
      <c r="A91" s="35"/>
      <c r="B91" s="35"/>
      <c r="C91" s="36">
        <v>46087.36209490741</v>
      </c>
      <c r="D91" s="35" t="s">
        <v>362</v>
      </c>
      <c r="E91" s="35" t="s">
        <v>95</v>
      </c>
      <c r="F91" s="35">
        <v>0</v>
      </c>
      <c r="G91" s="35" t="s">
        <v>440</v>
      </c>
      <c r="H91" s="35"/>
      <c r="I91" s="35"/>
      <c r="J91" s="35"/>
      <c r="K91" s="35"/>
      <c r="L91" s="35"/>
      <c r="M91" s="35"/>
    </row>
    <row r="92" spans="1:13" x14ac:dyDescent="0.3">
      <c r="A92" s="35"/>
      <c r="B92" s="35"/>
      <c r="C92" s="36">
        <v>46087.362210648149</v>
      </c>
      <c r="D92" s="35" t="s">
        <v>362</v>
      </c>
      <c r="E92" s="35" t="s">
        <v>95</v>
      </c>
      <c r="F92" s="35">
        <v>0</v>
      </c>
      <c r="G92" s="35" t="s">
        <v>441</v>
      </c>
      <c r="H92" s="35"/>
      <c r="I92" s="35"/>
      <c r="J92" s="35"/>
      <c r="K92" s="35"/>
      <c r="L92" s="35"/>
      <c r="M92" s="35"/>
    </row>
    <row r="93" spans="1:13" x14ac:dyDescent="0.3">
      <c r="A93" s="35"/>
      <c r="B93" s="35"/>
      <c r="C93" s="36">
        <v>46087.362245370372</v>
      </c>
      <c r="D93" s="35" t="s">
        <v>362</v>
      </c>
      <c r="E93" s="35" t="s">
        <v>95</v>
      </c>
      <c r="F93" s="35">
        <v>0</v>
      </c>
      <c r="G93" s="35" t="s">
        <v>442</v>
      </c>
      <c r="H93" s="35"/>
      <c r="I93" s="35"/>
      <c r="J93" s="35"/>
      <c r="K93" s="35"/>
      <c r="L93" s="35"/>
      <c r="M93" s="35"/>
    </row>
    <row r="94" spans="1:13" x14ac:dyDescent="0.3">
      <c r="A94" s="35"/>
      <c r="B94" s="35"/>
      <c r="C94" s="36">
        <v>46087.363368055558</v>
      </c>
      <c r="D94" s="35" t="s">
        <v>362</v>
      </c>
      <c r="E94" s="35" t="s">
        <v>95</v>
      </c>
      <c r="F94" s="35">
        <v>0</v>
      </c>
      <c r="G94" s="35" t="s">
        <v>443</v>
      </c>
      <c r="H94" s="35"/>
      <c r="I94" s="35"/>
      <c r="J94" s="35"/>
      <c r="K94" s="35"/>
      <c r="L94" s="35"/>
      <c r="M94" s="35"/>
    </row>
    <row r="95" spans="1:13" x14ac:dyDescent="0.3">
      <c r="A95" s="35"/>
      <c r="B95" s="35"/>
      <c r="C95" s="36">
        <v>46087.36341435185</v>
      </c>
      <c r="D95" s="35" t="s">
        <v>362</v>
      </c>
      <c r="E95" s="35" t="s">
        <v>95</v>
      </c>
      <c r="F95" s="35">
        <v>0</v>
      </c>
      <c r="G95" s="35" t="s">
        <v>444</v>
      </c>
      <c r="H95" s="35"/>
      <c r="I95" s="35"/>
      <c r="J95" s="35"/>
      <c r="K95" s="35"/>
      <c r="L95" s="35"/>
      <c r="M95" s="35"/>
    </row>
    <row r="96" spans="1:13" x14ac:dyDescent="0.3">
      <c r="A96" s="35"/>
      <c r="B96" s="35"/>
      <c r="C96" s="36">
        <v>46087.365833333337</v>
      </c>
      <c r="D96" s="35" t="s">
        <v>362</v>
      </c>
      <c r="E96" s="35" t="s">
        <v>95</v>
      </c>
      <c r="F96" s="35">
        <v>0</v>
      </c>
      <c r="G96" s="35" t="s">
        <v>445</v>
      </c>
      <c r="H96" s="35"/>
      <c r="I96" s="35"/>
      <c r="J96" s="35"/>
      <c r="K96" s="35"/>
      <c r="L96" s="35"/>
      <c r="M96" s="35"/>
    </row>
    <row r="97" spans="1:13" x14ac:dyDescent="0.3">
      <c r="A97" s="35"/>
      <c r="B97" s="35"/>
      <c r="C97" s="36">
        <v>46087.365914351853</v>
      </c>
      <c r="D97" s="35" t="s">
        <v>362</v>
      </c>
      <c r="E97" s="35" t="s">
        <v>95</v>
      </c>
      <c r="F97" s="35">
        <v>0</v>
      </c>
      <c r="G97" s="35" t="s">
        <v>446</v>
      </c>
      <c r="H97" s="35"/>
      <c r="I97" s="35"/>
      <c r="J97" s="35"/>
      <c r="K97" s="35"/>
      <c r="L97" s="35"/>
      <c r="M97" s="35"/>
    </row>
    <row r="98" spans="1:13" x14ac:dyDescent="0.3">
      <c r="A98" s="35"/>
      <c r="B98" s="35"/>
      <c r="C98" s="36">
        <v>46087.366979166669</v>
      </c>
      <c r="D98" s="35" t="s">
        <v>362</v>
      </c>
      <c r="E98" s="35" t="s">
        <v>95</v>
      </c>
      <c r="F98" s="35">
        <v>0</v>
      </c>
      <c r="G98" s="35" t="s">
        <v>447</v>
      </c>
      <c r="H98" s="35"/>
      <c r="I98" s="35"/>
      <c r="J98" s="35"/>
      <c r="K98" s="35"/>
      <c r="L98" s="35"/>
      <c r="M98" s="35"/>
    </row>
    <row r="99" spans="1:13" x14ac:dyDescent="0.3">
      <c r="A99" s="35"/>
      <c r="B99" s="35"/>
      <c r="C99" s="36">
        <v>46087.367060185185</v>
      </c>
      <c r="D99" s="35" t="s">
        <v>362</v>
      </c>
      <c r="E99" s="35" t="s">
        <v>95</v>
      </c>
      <c r="F99" s="35">
        <v>0</v>
      </c>
      <c r="G99" s="35" t="s">
        <v>448</v>
      </c>
      <c r="H99" s="35"/>
      <c r="I99" s="35"/>
      <c r="J99" s="35"/>
      <c r="K99" s="35"/>
      <c r="L99" s="35"/>
      <c r="M99" s="35"/>
    </row>
    <row r="100" spans="1:13" x14ac:dyDescent="0.3">
      <c r="A100" s="35"/>
      <c r="B100" s="35"/>
      <c r="C100" s="36">
        <v>46087.367534722223</v>
      </c>
      <c r="D100" s="35" t="s">
        <v>362</v>
      </c>
      <c r="E100" s="35" t="s">
        <v>95</v>
      </c>
      <c r="F100" s="35">
        <v>0</v>
      </c>
      <c r="G100" s="35" t="s">
        <v>449</v>
      </c>
      <c r="H100" s="35"/>
      <c r="I100" s="35"/>
      <c r="J100" s="35"/>
      <c r="K100" s="35"/>
      <c r="L100" s="35"/>
      <c r="M100" s="35"/>
    </row>
    <row r="101" spans="1:13" x14ac:dyDescent="0.3">
      <c r="A101" s="35"/>
      <c r="B101" s="35"/>
      <c r="C101" s="36">
        <v>46087.367615740739</v>
      </c>
      <c r="D101" s="35" t="s">
        <v>362</v>
      </c>
      <c r="E101" s="35" t="s">
        <v>95</v>
      </c>
      <c r="F101" s="35">
        <v>0</v>
      </c>
      <c r="G101" s="35" t="s">
        <v>450</v>
      </c>
      <c r="H101" s="35"/>
      <c r="I101" s="35"/>
      <c r="J101" s="35"/>
      <c r="K101" s="35"/>
      <c r="L101" s="35"/>
      <c r="M101" s="35"/>
    </row>
    <row r="102" spans="1:13" x14ac:dyDescent="0.3">
      <c r="A102" s="35"/>
      <c r="B102" s="35"/>
      <c r="C102" s="36">
        <v>46087.367986111109</v>
      </c>
      <c r="D102" s="35" t="s">
        <v>362</v>
      </c>
      <c r="E102" s="35" t="s">
        <v>95</v>
      </c>
      <c r="F102" s="35">
        <v>0</v>
      </c>
      <c r="G102" s="35" t="s">
        <v>451</v>
      </c>
      <c r="H102" s="35"/>
      <c r="I102" s="35"/>
      <c r="J102" s="35"/>
      <c r="K102" s="35"/>
      <c r="L102" s="35"/>
      <c r="M102" s="35"/>
    </row>
    <row r="103" spans="1:13" x14ac:dyDescent="0.3">
      <c r="A103" s="35"/>
      <c r="B103" s="35"/>
      <c r="C103" s="36">
        <v>46087.368101851855</v>
      </c>
      <c r="D103" s="35" t="s">
        <v>362</v>
      </c>
      <c r="E103" s="35" t="s">
        <v>95</v>
      </c>
      <c r="F103" s="35">
        <v>0</v>
      </c>
      <c r="G103" s="35" t="s">
        <v>452</v>
      </c>
      <c r="H103" s="35"/>
      <c r="I103" s="35"/>
      <c r="J103" s="35"/>
      <c r="K103" s="35"/>
      <c r="L103" s="35"/>
      <c r="M103" s="35"/>
    </row>
    <row r="104" spans="1:13" x14ac:dyDescent="0.3">
      <c r="A104" s="35"/>
      <c r="B104" s="35"/>
      <c r="C104" s="36">
        <v>46087.368206018517</v>
      </c>
      <c r="D104" s="35" t="s">
        <v>362</v>
      </c>
      <c r="E104" s="35" t="s">
        <v>95</v>
      </c>
      <c r="F104" s="35">
        <v>0</v>
      </c>
      <c r="G104" s="35" t="s">
        <v>453</v>
      </c>
      <c r="H104" s="35"/>
      <c r="I104" s="35"/>
      <c r="J104" s="35"/>
      <c r="K104" s="35"/>
      <c r="L104" s="35"/>
      <c r="M104" s="35"/>
    </row>
    <row r="105" spans="1:13" x14ac:dyDescent="0.3">
      <c r="A105" s="35"/>
      <c r="B105" s="35"/>
      <c r="C105" s="36">
        <v>46087.368252314816</v>
      </c>
      <c r="D105" s="35" t="s">
        <v>362</v>
      </c>
      <c r="E105" s="35" t="s">
        <v>95</v>
      </c>
      <c r="F105" s="35">
        <v>0</v>
      </c>
      <c r="G105" s="35" t="s">
        <v>454</v>
      </c>
      <c r="H105" s="35"/>
      <c r="I105" s="35"/>
      <c r="J105" s="35"/>
      <c r="K105" s="35"/>
      <c r="L105" s="35"/>
      <c r="M105" s="35"/>
    </row>
    <row r="106" spans="1:13" x14ac:dyDescent="0.3">
      <c r="A106" s="35"/>
      <c r="B106" s="35"/>
      <c r="C106" s="36">
        <v>46087.368518518517</v>
      </c>
      <c r="D106" s="35" t="s">
        <v>362</v>
      </c>
      <c r="E106" s="35" t="s">
        <v>95</v>
      </c>
      <c r="F106" s="35">
        <v>0</v>
      </c>
      <c r="G106" s="35" t="s">
        <v>455</v>
      </c>
      <c r="H106" s="35"/>
      <c r="I106" s="35"/>
      <c r="J106" s="35"/>
      <c r="K106" s="35"/>
      <c r="L106" s="35"/>
      <c r="M106" s="35"/>
    </row>
    <row r="107" spans="1:13" x14ac:dyDescent="0.3">
      <c r="A107" s="35"/>
      <c r="B107" s="35"/>
      <c r="C107" s="36">
        <v>46087.36855324074</v>
      </c>
      <c r="D107" s="35" t="s">
        <v>362</v>
      </c>
      <c r="E107" s="35" t="s">
        <v>95</v>
      </c>
      <c r="F107" s="35">
        <v>0</v>
      </c>
      <c r="G107" s="35" t="s">
        <v>456</v>
      </c>
      <c r="H107" s="35"/>
      <c r="I107" s="35"/>
      <c r="J107" s="35"/>
      <c r="K107" s="35"/>
      <c r="L107" s="35"/>
      <c r="M107" s="35"/>
    </row>
    <row r="108" spans="1:13" x14ac:dyDescent="0.3">
      <c r="A108" s="35"/>
      <c r="B108" s="35"/>
      <c r="C108" s="36">
        <v>46087.368587962963</v>
      </c>
      <c r="D108" s="35" t="s">
        <v>362</v>
      </c>
      <c r="E108" s="35" t="s">
        <v>95</v>
      </c>
      <c r="F108" s="35">
        <v>0</v>
      </c>
      <c r="G108" s="35" t="s">
        <v>457</v>
      </c>
      <c r="H108" s="35"/>
      <c r="I108" s="35"/>
      <c r="J108" s="35"/>
      <c r="K108" s="35"/>
      <c r="L108" s="35"/>
      <c r="M108" s="35"/>
    </row>
    <row r="109" spans="1:13" x14ac:dyDescent="0.3">
      <c r="A109" s="35"/>
      <c r="B109" s="35"/>
      <c r="C109" s="36">
        <v>46087.368715277778</v>
      </c>
      <c r="D109" s="35" t="s">
        <v>362</v>
      </c>
      <c r="E109" s="35" t="s">
        <v>95</v>
      </c>
      <c r="F109" s="35">
        <v>0</v>
      </c>
      <c r="G109" s="35" t="s">
        <v>458</v>
      </c>
      <c r="H109" s="35"/>
      <c r="I109" s="35"/>
      <c r="J109" s="35"/>
      <c r="K109" s="35"/>
      <c r="L109" s="35"/>
      <c r="M109" s="35"/>
    </row>
    <row r="110" spans="1:13" x14ac:dyDescent="0.3">
      <c r="A110" s="35"/>
      <c r="B110" s="35"/>
      <c r="C110" s="36">
        <v>46087.368738425925</v>
      </c>
      <c r="D110" s="35" t="s">
        <v>362</v>
      </c>
      <c r="E110" s="35" t="s">
        <v>95</v>
      </c>
      <c r="F110" s="35">
        <v>0</v>
      </c>
      <c r="G110" s="35" t="s">
        <v>459</v>
      </c>
      <c r="H110" s="35"/>
      <c r="I110" s="35"/>
      <c r="J110" s="35"/>
      <c r="K110" s="35"/>
      <c r="L110" s="35"/>
      <c r="M110" s="35"/>
    </row>
    <row r="111" spans="1:13" x14ac:dyDescent="0.3">
      <c r="A111" s="35"/>
      <c r="B111" s="35"/>
      <c r="C111" s="36">
        <v>46087.368773148148</v>
      </c>
      <c r="D111" s="35" t="s">
        <v>362</v>
      </c>
      <c r="E111" s="35" t="s">
        <v>95</v>
      </c>
      <c r="F111" s="35">
        <v>0</v>
      </c>
      <c r="G111" s="35" t="s">
        <v>460</v>
      </c>
      <c r="H111" s="35"/>
      <c r="I111" s="35"/>
      <c r="J111" s="35"/>
      <c r="K111" s="35"/>
      <c r="L111" s="35"/>
      <c r="M111" s="35"/>
    </row>
    <row r="112" spans="1:13" x14ac:dyDescent="0.3">
      <c r="A112" s="35"/>
      <c r="B112" s="35"/>
      <c r="C112" s="36">
        <v>46087.368819444448</v>
      </c>
      <c r="D112" s="35" t="s">
        <v>362</v>
      </c>
      <c r="E112" s="35" t="s">
        <v>95</v>
      </c>
      <c r="F112" s="35">
        <v>0</v>
      </c>
      <c r="G112" s="35" t="s">
        <v>461</v>
      </c>
      <c r="H112" s="35"/>
      <c r="I112" s="35"/>
      <c r="J112" s="35"/>
      <c r="K112" s="35"/>
      <c r="L112" s="35"/>
      <c r="M112" s="35"/>
    </row>
    <row r="113" spans="1:13" x14ac:dyDescent="0.3">
      <c r="A113" s="35"/>
      <c r="B113" s="35"/>
      <c r="C113" s="36">
        <v>46087.368831018517</v>
      </c>
      <c r="D113" s="35" t="s">
        <v>362</v>
      </c>
      <c r="E113" s="35" t="s">
        <v>95</v>
      </c>
      <c r="F113" s="35">
        <v>0</v>
      </c>
      <c r="G113" s="35" t="s">
        <v>462</v>
      </c>
      <c r="H113" s="35"/>
      <c r="I113" s="35"/>
      <c r="J113" s="35"/>
      <c r="K113" s="35"/>
      <c r="L113" s="35"/>
      <c r="M113" s="35"/>
    </row>
    <row r="114" spans="1:13" x14ac:dyDescent="0.3">
      <c r="A114" s="35"/>
      <c r="B114" s="35"/>
      <c r="C114" s="36">
        <v>46087.368854166663</v>
      </c>
      <c r="D114" s="35" t="s">
        <v>362</v>
      </c>
      <c r="E114" s="35" t="s">
        <v>95</v>
      </c>
      <c r="F114" s="35">
        <v>0</v>
      </c>
      <c r="G114" s="35" t="s">
        <v>463</v>
      </c>
      <c r="H114" s="35"/>
      <c r="I114" s="35"/>
      <c r="J114" s="35"/>
      <c r="K114" s="35"/>
      <c r="L114" s="35"/>
      <c r="M114" s="35"/>
    </row>
    <row r="115" spans="1:13" x14ac:dyDescent="0.3">
      <c r="A115" s="35"/>
      <c r="B115" s="35"/>
      <c r="C115" s="36">
        <v>46087.368877314817</v>
      </c>
      <c r="D115" s="35" t="s">
        <v>350</v>
      </c>
      <c r="E115" s="35" t="s">
        <v>95</v>
      </c>
      <c r="F115" s="35">
        <v>0</v>
      </c>
      <c r="G115" s="35" t="s">
        <v>464</v>
      </c>
      <c r="H115" s="35"/>
      <c r="I115" s="35"/>
      <c r="J115" s="35"/>
      <c r="K115" s="35"/>
      <c r="L115" s="35"/>
      <c r="M115" s="35"/>
    </row>
    <row r="116" spans="1:13" x14ac:dyDescent="0.3">
      <c r="A116" s="35"/>
      <c r="B116" s="35"/>
      <c r="C116" s="36">
        <v>46087.369016203702</v>
      </c>
      <c r="D116" s="35" t="s">
        <v>362</v>
      </c>
      <c r="E116" s="35" t="s">
        <v>95</v>
      </c>
      <c r="F116" s="35">
        <v>0</v>
      </c>
      <c r="G116" s="35" t="s">
        <v>465</v>
      </c>
      <c r="H116" s="35"/>
      <c r="I116" s="35"/>
      <c r="J116" s="35"/>
      <c r="K116" s="35"/>
      <c r="L116" s="35"/>
      <c r="M116" s="35"/>
    </row>
    <row r="117" spans="1:13" x14ac:dyDescent="0.3">
      <c r="A117" s="35"/>
      <c r="B117" s="35"/>
      <c r="C117" s="36">
        <v>46087.369062500002</v>
      </c>
      <c r="D117" s="35" t="s">
        <v>362</v>
      </c>
      <c r="E117" s="35" t="s">
        <v>95</v>
      </c>
      <c r="F117" s="35">
        <v>0</v>
      </c>
      <c r="G117" s="35" t="s">
        <v>466</v>
      </c>
      <c r="H117" s="35"/>
      <c r="I117" s="35"/>
      <c r="J117" s="35"/>
      <c r="K117" s="35"/>
      <c r="L117" s="35"/>
      <c r="M117" s="35"/>
    </row>
    <row r="118" spans="1:13" x14ac:dyDescent="0.3">
      <c r="A118" s="35"/>
      <c r="B118" s="35"/>
      <c r="C118" s="36">
        <v>46087.369097222225</v>
      </c>
      <c r="D118" s="35" t="s">
        <v>362</v>
      </c>
      <c r="E118" s="35" t="s">
        <v>95</v>
      </c>
      <c r="F118" s="35">
        <v>0</v>
      </c>
      <c r="G118" s="35" t="s">
        <v>467</v>
      </c>
      <c r="H118" s="35"/>
      <c r="I118" s="35"/>
      <c r="J118" s="35"/>
      <c r="K118" s="35"/>
      <c r="L118" s="35"/>
      <c r="M118" s="35"/>
    </row>
    <row r="119" spans="1:13" x14ac:dyDescent="0.3">
      <c r="A119" s="35"/>
      <c r="B119" s="35"/>
      <c r="C119" s="36">
        <v>46087.369270833333</v>
      </c>
      <c r="D119" s="35" t="s">
        <v>362</v>
      </c>
      <c r="E119" s="35" t="s">
        <v>95</v>
      </c>
      <c r="F119" s="35">
        <v>0</v>
      </c>
      <c r="G119" s="35" t="s">
        <v>468</v>
      </c>
      <c r="H119" s="35"/>
      <c r="I119" s="35"/>
      <c r="J119" s="35"/>
      <c r="K119" s="35"/>
      <c r="L119" s="35"/>
      <c r="M119" s="35"/>
    </row>
    <row r="120" spans="1:13" x14ac:dyDescent="0.3">
      <c r="A120" s="35"/>
      <c r="B120" s="35"/>
      <c r="C120" s="36">
        <v>46087.369421296295</v>
      </c>
      <c r="D120" s="35" t="s">
        <v>362</v>
      </c>
      <c r="E120" s="35" t="s">
        <v>95</v>
      </c>
      <c r="F120" s="35">
        <v>0</v>
      </c>
      <c r="G120" s="35" t="s">
        <v>469</v>
      </c>
      <c r="H120" s="35"/>
      <c r="I120" s="35"/>
      <c r="J120" s="35"/>
      <c r="K120" s="35"/>
      <c r="L120" s="35"/>
      <c r="M120" s="35"/>
    </row>
    <row r="121" spans="1:13" x14ac:dyDescent="0.3">
      <c r="A121" s="35"/>
      <c r="B121" s="35"/>
      <c r="C121" s="36">
        <v>46087.369513888887</v>
      </c>
      <c r="D121" s="35" t="s">
        <v>362</v>
      </c>
      <c r="E121" s="35" t="s">
        <v>95</v>
      </c>
      <c r="F121" s="35">
        <v>0</v>
      </c>
      <c r="G121" s="35" t="s">
        <v>470</v>
      </c>
      <c r="H121" s="35"/>
      <c r="I121" s="35"/>
      <c r="J121" s="35"/>
      <c r="K121" s="35"/>
      <c r="L121" s="35"/>
      <c r="M121" s="35"/>
    </row>
    <row r="122" spans="1:13" x14ac:dyDescent="0.3">
      <c r="A122" s="35"/>
      <c r="B122" s="35"/>
      <c r="C122" s="36">
        <v>46087.369525462964</v>
      </c>
      <c r="D122" s="35" t="s">
        <v>362</v>
      </c>
      <c r="E122" s="35" t="s">
        <v>95</v>
      </c>
      <c r="F122" s="35">
        <v>0</v>
      </c>
      <c r="G122" s="35" t="s">
        <v>471</v>
      </c>
      <c r="H122" s="35"/>
      <c r="I122" s="35"/>
      <c r="J122" s="35"/>
      <c r="K122" s="35"/>
      <c r="L122" s="35"/>
      <c r="M122" s="35"/>
    </row>
    <row r="123" spans="1:13" x14ac:dyDescent="0.3">
      <c r="A123" s="35"/>
      <c r="B123" s="35"/>
      <c r="C123" s="36">
        <v>46087.369618055556</v>
      </c>
      <c r="D123" s="35" t="s">
        <v>362</v>
      </c>
      <c r="E123" s="35" t="s">
        <v>95</v>
      </c>
      <c r="F123" s="35">
        <v>0</v>
      </c>
      <c r="G123" s="35" t="s">
        <v>472</v>
      </c>
      <c r="H123" s="35"/>
      <c r="I123" s="35"/>
      <c r="J123" s="35"/>
      <c r="K123" s="35"/>
      <c r="L123" s="35"/>
      <c r="M123" s="35"/>
    </row>
    <row r="124" spans="1:13" x14ac:dyDescent="0.3">
      <c r="A124" s="35"/>
      <c r="B124" s="35"/>
      <c r="C124" s="36">
        <v>46087.369641203702</v>
      </c>
      <c r="D124" s="35" t="s">
        <v>362</v>
      </c>
      <c r="E124" s="35" t="s">
        <v>95</v>
      </c>
      <c r="F124" s="35">
        <v>0</v>
      </c>
      <c r="G124" s="35" t="s">
        <v>473</v>
      </c>
      <c r="H124" s="35"/>
      <c r="I124" s="35"/>
      <c r="J124" s="35"/>
      <c r="K124" s="35"/>
      <c r="L124" s="35"/>
      <c r="M124" s="35"/>
    </row>
    <row r="125" spans="1:13" x14ac:dyDescent="0.3">
      <c r="A125" s="35"/>
      <c r="B125" s="35"/>
      <c r="C125" s="36">
        <v>46087.369768518518</v>
      </c>
      <c r="D125" s="35" t="s">
        <v>362</v>
      </c>
      <c r="E125" s="35" t="s">
        <v>95</v>
      </c>
      <c r="F125" s="35">
        <v>0</v>
      </c>
      <c r="G125" s="35" t="s">
        <v>474</v>
      </c>
      <c r="H125" s="35"/>
      <c r="I125" s="35"/>
      <c r="J125" s="35"/>
      <c r="K125" s="35"/>
      <c r="L125" s="35"/>
      <c r="M125" s="35"/>
    </row>
    <row r="126" spans="1:13" x14ac:dyDescent="0.3">
      <c r="A126" s="35"/>
      <c r="B126" s="35"/>
      <c r="C126" s="36">
        <v>46087.369930555556</v>
      </c>
      <c r="D126" s="35" t="s">
        <v>362</v>
      </c>
      <c r="E126" s="35" t="s">
        <v>95</v>
      </c>
      <c r="F126" s="35">
        <v>0</v>
      </c>
      <c r="G126" s="35" t="s">
        <v>475</v>
      </c>
      <c r="H126" s="35"/>
      <c r="I126" s="35"/>
      <c r="J126" s="35"/>
      <c r="K126" s="35"/>
      <c r="L126" s="35"/>
      <c r="M126" s="35"/>
    </row>
    <row r="127" spans="1:13" x14ac:dyDescent="0.3">
      <c r="A127" s="35"/>
      <c r="B127" s="35"/>
      <c r="C127" s="36">
        <v>46087.370034722226</v>
      </c>
      <c r="D127" s="35" t="s">
        <v>350</v>
      </c>
      <c r="E127" s="35" t="s">
        <v>95</v>
      </c>
      <c r="F127" s="35">
        <v>0</v>
      </c>
      <c r="G127" s="35" t="s">
        <v>476</v>
      </c>
      <c r="H127" s="35"/>
      <c r="I127" s="35"/>
      <c r="J127" s="35"/>
      <c r="K127" s="35"/>
      <c r="L127" s="35"/>
      <c r="M127" s="35"/>
    </row>
    <row r="128" spans="1:13" x14ac:dyDescent="0.3">
      <c r="A128" s="35"/>
      <c r="B128" s="35"/>
      <c r="C128" s="36">
        <v>46087.370150462964</v>
      </c>
      <c r="D128" s="35" t="s">
        <v>362</v>
      </c>
      <c r="E128" s="35" t="s">
        <v>95</v>
      </c>
      <c r="F128" s="35">
        <v>0</v>
      </c>
      <c r="G128" s="35" t="s">
        <v>477</v>
      </c>
      <c r="H128" s="35"/>
      <c r="I128" s="35"/>
      <c r="J128" s="35"/>
      <c r="K128" s="35"/>
      <c r="L128" s="35"/>
      <c r="M128" s="35"/>
    </row>
    <row r="129" spans="1:13" x14ac:dyDescent="0.3">
      <c r="A129" s="35"/>
      <c r="B129" s="35"/>
      <c r="C129" s="36">
        <v>46087.370208333334</v>
      </c>
      <c r="D129" s="35" t="s">
        <v>362</v>
      </c>
      <c r="E129" s="35" t="s">
        <v>95</v>
      </c>
      <c r="F129" s="35">
        <v>0</v>
      </c>
      <c r="G129" s="35" t="s">
        <v>478</v>
      </c>
      <c r="H129" s="35"/>
      <c r="I129" s="35"/>
      <c r="J129" s="35"/>
      <c r="K129" s="35"/>
      <c r="L129" s="35"/>
      <c r="M129" s="35"/>
    </row>
    <row r="130" spans="1:13" x14ac:dyDescent="0.3">
      <c r="A130" s="35"/>
      <c r="B130" s="35"/>
      <c r="C130" s="36">
        <v>46087.370219907411</v>
      </c>
      <c r="D130" s="35" t="s">
        <v>362</v>
      </c>
      <c r="E130" s="35" t="s">
        <v>95</v>
      </c>
      <c r="F130" s="35">
        <v>0</v>
      </c>
      <c r="G130" s="35" t="s">
        <v>479</v>
      </c>
      <c r="H130" s="35"/>
      <c r="I130" s="35"/>
      <c r="J130" s="35"/>
      <c r="K130" s="35"/>
      <c r="L130" s="35"/>
      <c r="M130" s="35"/>
    </row>
    <row r="131" spans="1:13" x14ac:dyDescent="0.3">
      <c r="A131" s="35"/>
      <c r="B131" s="35"/>
      <c r="C131" s="36">
        <v>46087.370486111111</v>
      </c>
      <c r="D131" s="35" t="s">
        <v>362</v>
      </c>
      <c r="E131" s="35" t="s">
        <v>95</v>
      </c>
      <c r="F131" s="35">
        <v>0</v>
      </c>
      <c r="G131" s="35" t="s">
        <v>480</v>
      </c>
      <c r="H131" s="35"/>
      <c r="I131" s="35"/>
      <c r="J131" s="35"/>
      <c r="K131" s="35"/>
      <c r="L131" s="35"/>
      <c r="M131" s="35"/>
    </row>
    <row r="132" spans="1:13" x14ac:dyDescent="0.3">
      <c r="A132" s="35"/>
      <c r="B132" s="35"/>
      <c r="C132" s="36">
        <v>46087.370497685188</v>
      </c>
      <c r="D132" s="35" t="s">
        <v>362</v>
      </c>
      <c r="E132" s="35" t="s">
        <v>95</v>
      </c>
      <c r="F132" s="35">
        <v>0</v>
      </c>
      <c r="G132" s="35" t="s">
        <v>481</v>
      </c>
      <c r="H132" s="35"/>
      <c r="I132" s="35"/>
      <c r="J132" s="35"/>
      <c r="K132" s="35"/>
      <c r="L132" s="35"/>
      <c r="M132" s="35"/>
    </row>
    <row r="133" spans="1:13" x14ac:dyDescent="0.3">
      <c r="A133" s="35"/>
      <c r="B133" s="35"/>
      <c r="C133" s="36">
        <v>46087.370740740742</v>
      </c>
      <c r="D133" s="35" t="s">
        <v>362</v>
      </c>
      <c r="E133" s="35" t="s">
        <v>95</v>
      </c>
      <c r="F133" s="35">
        <v>0</v>
      </c>
      <c r="G133" s="35" t="s">
        <v>482</v>
      </c>
      <c r="H133" s="35"/>
      <c r="I133" s="35"/>
      <c r="J133" s="35"/>
      <c r="K133" s="35"/>
      <c r="L133" s="35"/>
      <c r="M133" s="35"/>
    </row>
    <row r="134" spans="1:13" x14ac:dyDescent="0.3">
      <c r="A134" s="35"/>
      <c r="B134" s="35"/>
      <c r="C134" s="36">
        <v>46087.370787037034</v>
      </c>
      <c r="D134" s="35" t="s">
        <v>362</v>
      </c>
      <c r="E134" s="35" t="s">
        <v>95</v>
      </c>
      <c r="F134" s="35">
        <v>0</v>
      </c>
      <c r="G134" s="35" t="s">
        <v>483</v>
      </c>
      <c r="H134" s="35"/>
      <c r="I134" s="35"/>
      <c r="J134" s="35"/>
      <c r="K134" s="35"/>
      <c r="L134" s="35"/>
      <c r="M134" s="35"/>
    </row>
    <row r="135" spans="1:13" x14ac:dyDescent="0.3">
      <c r="A135" s="35"/>
      <c r="B135" s="35"/>
      <c r="C135" s="36">
        <v>46087.370798611111</v>
      </c>
      <c r="D135" s="35" t="s">
        <v>362</v>
      </c>
      <c r="E135" s="35" t="s">
        <v>95</v>
      </c>
      <c r="F135" s="35">
        <v>0</v>
      </c>
      <c r="G135" s="35" t="s">
        <v>484</v>
      </c>
      <c r="H135" s="35"/>
      <c r="I135" s="35"/>
      <c r="J135" s="35"/>
      <c r="K135" s="35"/>
      <c r="L135" s="35"/>
      <c r="M135" s="35"/>
    </row>
    <row r="136" spans="1:13" x14ac:dyDescent="0.3">
      <c r="A136" s="35"/>
      <c r="B136" s="35"/>
      <c r="C136" s="36">
        <v>46087.370856481481</v>
      </c>
      <c r="D136" s="35" t="s">
        <v>362</v>
      </c>
      <c r="E136" s="35" t="s">
        <v>95</v>
      </c>
      <c r="F136" s="35">
        <v>0</v>
      </c>
      <c r="G136" s="35" t="s">
        <v>485</v>
      </c>
      <c r="H136" s="35"/>
      <c r="I136" s="35"/>
      <c r="J136" s="35"/>
      <c r="K136" s="35"/>
      <c r="L136" s="35"/>
      <c r="M136" s="35"/>
    </row>
    <row r="137" spans="1:13" x14ac:dyDescent="0.3">
      <c r="A137" s="35"/>
      <c r="B137" s="35"/>
      <c r="C137" s="36">
        <v>46087.37090277778</v>
      </c>
      <c r="D137" s="35" t="s">
        <v>362</v>
      </c>
      <c r="E137" s="35" t="s">
        <v>95</v>
      </c>
      <c r="F137" s="35">
        <v>0</v>
      </c>
      <c r="G137" s="35" t="s">
        <v>486</v>
      </c>
      <c r="H137" s="35"/>
      <c r="I137" s="35"/>
      <c r="J137" s="35"/>
      <c r="K137" s="35"/>
      <c r="L137" s="35"/>
      <c r="M137" s="35"/>
    </row>
    <row r="138" spans="1:13" x14ac:dyDescent="0.3">
      <c r="A138" s="35"/>
      <c r="B138" s="35"/>
      <c r="C138" s="36">
        <v>46087.371018518519</v>
      </c>
      <c r="D138" s="35" t="s">
        <v>362</v>
      </c>
      <c r="E138" s="35" t="s">
        <v>95</v>
      </c>
      <c r="F138" s="35">
        <v>0</v>
      </c>
      <c r="G138" s="35" t="s">
        <v>487</v>
      </c>
      <c r="H138" s="35"/>
      <c r="I138" s="35"/>
      <c r="J138" s="35"/>
      <c r="K138" s="35"/>
      <c r="L138" s="35"/>
      <c r="M138" s="35"/>
    </row>
    <row r="139" spans="1:13" x14ac:dyDescent="0.3">
      <c r="A139" s="35"/>
      <c r="B139" s="35"/>
      <c r="C139" s="36">
        <v>46087.371030092596</v>
      </c>
      <c r="D139" s="35" t="s">
        <v>362</v>
      </c>
      <c r="E139" s="35" t="s">
        <v>95</v>
      </c>
      <c r="F139" s="35">
        <v>0</v>
      </c>
      <c r="G139" s="35" t="s">
        <v>488</v>
      </c>
      <c r="H139" s="35"/>
      <c r="I139" s="35"/>
      <c r="J139" s="35"/>
      <c r="K139" s="35"/>
      <c r="L139" s="35"/>
      <c r="M139" s="35"/>
    </row>
    <row r="140" spans="1:13" x14ac:dyDescent="0.3">
      <c r="A140" s="35"/>
      <c r="B140" s="35"/>
      <c r="C140" s="36">
        <v>46087.371064814812</v>
      </c>
      <c r="D140" s="35" t="s">
        <v>362</v>
      </c>
      <c r="E140" s="35" t="s">
        <v>95</v>
      </c>
      <c r="F140" s="35">
        <v>0</v>
      </c>
      <c r="G140" s="35" t="s">
        <v>489</v>
      </c>
      <c r="H140" s="35"/>
      <c r="I140" s="35"/>
      <c r="J140" s="35"/>
      <c r="K140" s="35"/>
      <c r="L140" s="35"/>
      <c r="M140" s="35"/>
    </row>
    <row r="141" spans="1:13" x14ac:dyDescent="0.3">
      <c r="A141" s="35"/>
      <c r="B141" s="35"/>
      <c r="C141" s="36">
        <v>46087.371168981481</v>
      </c>
      <c r="D141" s="35" t="s">
        <v>362</v>
      </c>
      <c r="E141" s="35" t="s">
        <v>95</v>
      </c>
      <c r="F141" s="35">
        <v>0</v>
      </c>
      <c r="G141" s="35" t="s">
        <v>490</v>
      </c>
      <c r="H141" s="35"/>
      <c r="I141" s="35"/>
      <c r="J141" s="35"/>
      <c r="K141" s="35"/>
      <c r="L141" s="35"/>
      <c r="M141" s="35"/>
    </row>
    <row r="142" spans="1:13" x14ac:dyDescent="0.3">
      <c r="A142" s="35"/>
      <c r="B142" s="35"/>
      <c r="C142" s="36">
        <v>46087.371296296296</v>
      </c>
      <c r="D142" s="35" t="s">
        <v>362</v>
      </c>
      <c r="E142" s="35" t="s">
        <v>95</v>
      </c>
      <c r="F142" s="35">
        <v>0</v>
      </c>
      <c r="G142" s="35" t="s">
        <v>491</v>
      </c>
      <c r="H142" s="35"/>
      <c r="I142" s="35"/>
      <c r="J142" s="35"/>
      <c r="K142" s="35"/>
      <c r="L142" s="35"/>
      <c r="M142" s="35"/>
    </row>
    <row r="143" spans="1:13" x14ac:dyDescent="0.3">
      <c r="A143" s="35"/>
      <c r="B143" s="35"/>
      <c r="C143" s="36">
        <v>46087.371458333335</v>
      </c>
      <c r="D143" s="35" t="s">
        <v>362</v>
      </c>
      <c r="E143" s="35" t="s">
        <v>95</v>
      </c>
      <c r="F143" s="35">
        <v>0</v>
      </c>
      <c r="G143" s="35" t="s">
        <v>492</v>
      </c>
      <c r="H143" s="35"/>
      <c r="I143" s="35"/>
      <c r="J143" s="35"/>
      <c r="K143" s="35"/>
      <c r="L143" s="35"/>
      <c r="M143" s="35"/>
    </row>
    <row r="144" spans="1:13" x14ac:dyDescent="0.3">
      <c r="A144" s="35"/>
      <c r="B144" s="35"/>
      <c r="C144" s="36">
        <v>46087.371562499997</v>
      </c>
      <c r="D144" s="35" t="s">
        <v>362</v>
      </c>
      <c r="E144" s="35" t="s">
        <v>95</v>
      </c>
      <c r="F144" s="35">
        <v>0</v>
      </c>
      <c r="G144" s="35" t="s">
        <v>493</v>
      </c>
      <c r="H144" s="35"/>
      <c r="I144" s="35"/>
      <c r="J144" s="35"/>
      <c r="K144" s="35"/>
      <c r="L144" s="35"/>
      <c r="M144" s="35"/>
    </row>
    <row r="145" spans="1:13" x14ac:dyDescent="0.3">
      <c r="A145" s="35"/>
      <c r="B145" s="35"/>
      <c r="C145" s="36">
        <v>46087.371712962966</v>
      </c>
      <c r="D145" s="35" t="s">
        <v>362</v>
      </c>
      <c r="E145" s="35" t="s">
        <v>95</v>
      </c>
      <c r="F145" s="35">
        <v>0</v>
      </c>
      <c r="G145" s="35" t="s">
        <v>494</v>
      </c>
      <c r="H145" s="35"/>
      <c r="I145" s="35"/>
      <c r="J145" s="35"/>
      <c r="K145" s="35"/>
      <c r="L145" s="35"/>
      <c r="M145" s="35"/>
    </row>
    <row r="146" spans="1:13" x14ac:dyDescent="0.3">
      <c r="A146" s="35"/>
      <c r="B146" s="35"/>
      <c r="C146" s="36">
        <v>46087.372303240743</v>
      </c>
      <c r="D146" s="35" t="s">
        <v>362</v>
      </c>
      <c r="E146" s="35" t="s">
        <v>95</v>
      </c>
      <c r="F146" s="35">
        <v>0</v>
      </c>
      <c r="G146" s="35" t="s">
        <v>495</v>
      </c>
      <c r="H146" s="35"/>
      <c r="I146" s="35"/>
      <c r="J146" s="35"/>
      <c r="K146" s="35"/>
      <c r="L146" s="35"/>
      <c r="M146" s="35"/>
    </row>
    <row r="147" spans="1:13" x14ac:dyDescent="0.3">
      <c r="A147" s="35"/>
      <c r="B147" s="35"/>
      <c r="C147" s="36">
        <v>46087.372395833336</v>
      </c>
      <c r="D147" s="35" t="s">
        <v>362</v>
      </c>
      <c r="E147" s="35" t="s">
        <v>95</v>
      </c>
      <c r="F147" s="35">
        <v>0</v>
      </c>
      <c r="G147" s="35" t="s">
        <v>496</v>
      </c>
      <c r="H147" s="35"/>
      <c r="I147" s="35"/>
      <c r="J147" s="35"/>
      <c r="K147" s="35"/>
      <c r="L147" s="35"/>
      <c r="M147" s="35"/>
    </row>
    <row r="148" spans="1:13" x14ac:dyDescent="0.3">
      <c r="A148" s="35"/>
      <c r="B148" s="35"/>
      <c r="C148" s="36">
        <v>46087.372430555559</v>
      </c>
      <c r="D148" s="35" t="s">
        <v>362</v>
      </c>
      <c r="E148" s="35" t="s">
        <v>95</v>
      </c>
      <c r="F148" s="35">
        <v>0</v>
      </c>
      <c r="G148" s="35" t="s">
        <v>497</v>
      </c>
      <c r="H148" s="35"/>
      <c r="I148" s="35"/>
      <c r="J148" s="35"/>
      <c r="K148" s="35"/>
      <c r="L148" s="35"/>
      <c r="M148" s="35"/>
    </row>
    <row r="149" spans="1:13" x14ac:dyDescent="0.3">
      <c r="A149" s="35"/>
      <c r="B149" s="35"/>
      <c r="C149" s="36">
        <v>46087.372476851851</v>
      </c>
      <c r="D149" s="35" t="s">
        <v>362</v>
      </c>
      <c r="E149" s="35" t="s">
        <v>95</v>
      </c>
      <c r="F149" s="35">
        <v>0</v>
      </c>
      <c r="G149" s="35" t="s">
        <v>498</v>
      </c>
      <c r="H149" s="35"/>
      <c r="I149" s="35"/>
      <c r="J149" s="35"/>
      <c r="K149" s="35"/>
      <c r="L149" s="35"/>
      <c r="M149" s="35"/>
    </row>
    <row r="150" spans="1:13" x14ac:dyDescent="0.3">
      <c r="A150" s="35"/>
      <c r="B150" s="35"/>
      <c r="C150" s="36">
        <v>46087.372627314813</v>
      </c>
      <c r="D150" s="35" t="s">
        <v>362</v>
      </c>
      <c r="E150" s="35" t="s">
        <v>95</v>
      </c>
      <c r="F150" s="35">
        <v>0</v>
      </c>
      <c r="G150" s="35" t="s">
        <v>499</v>
      </c>
      <c r="H150" s="35"/>
      <c r="I150" s="35"/>
      <c r="J150" s="35"/>
      <c r="K150" s="35"/>
      <c r="L150" s="35"/>
      <c r="M150" s="35"/>
    </row>
    <row r="151" spans="1:13" x14ac:dyDescent="0.3">
      <c r="A151" s="35"/>
      <c r="B151" s="35"/>
      <c r="C151" s="36">
        <v>46087.372835648152</v>
      </c>
      <c r="D151" s="35" t="s">
        <v>362</v>
      </c>
      <c r="E151" s="35" t="s">
        <v>95</v>
      </c>
      <c r="F151" s="35">
        <v>0</v>
      </c>
      <c r="G151" s="35" t="s">
        <v>500</v>
      </c>
      <c r="H151" s="35"/>
      <c r="I151" s="35"/>
      <c r="J151" s="35"/>
      <c r="K151" s="35"/>
      <c r="L151" s="35"/>
      <c r="M151" s="35"/>
    </row>
    <row r="152" spans="1:13" x14ac:dyDescent="0.3">
      <c r="A152" s="35"/>
      <c r="B152" s="35"/>
      <c r="C152" s="36">
        <v>46087.37300925926</v>
      </c>
      <c r="D152" s="35" t="s">
        <v>362</v>
      </c>
      <c r="E152" s="35" t="s">
        <v>95</v>
      </c>
      <c r="F152" s="35">
        <v>0</v>
      </c>
      <c r="G152" s="35" t="s">
        <v>501</v>
      </c>
      <c r="H152" s="35"/>
      <c r="I152" s="35"/>
      <c r="J152" s="35"/>
      <c r="K152" s="35"/>
      <c r="L152" s="35"/>
      <c r="M152" s="35"/>
    </row>
    <row r="153" spans="1:13" x14ac:dyDescent="0.3">
      <c r="A153" s="35"/>
      <c r="B153" s="35"/>
      <c r="C153" s="36">
        <v>46087.373090277775</v>
      </c>
      <c r="D153" s="35" t="s">
        <v>362</v>
      </c>
      <c r="E153" s="35" t="s">
        <v>95</v>
      </c>
      <c r="F153" s="35">
        <v>0</v>
      </c>
      <c r="G153" s="35" t="s">
        <v>502</v>
      </c>
      <c r="H153" s="35"/>
      <c r="I153" s="35"/>
      <c r="J153" s="35"/>
      <c r="K153" s="35"/>
      <c r="L153" s="35"/>
      <c r="M153" s="35"/>
    </row>
    <row r="154" spans="1:13" x14ac:dyDescent="0.3">
      <c r="A154" s="35"/>
      <c r="B154" s="35"/>
      <c r="C154" s="36">
        <v>46087.373124999998</v>
      </c>
      <c r="D154" s="35" t="s">
        <v>362</v>
      </c>
      <c r="E154" s="35" t="s">
        <v>95</v>
      </c>
      <c r="F154" s="35">
        <v>0</v>
      </c>
      <c r="G154" s="35" t="s">
        <v>503</v>
      </c>
      <c r="H154" s="35"/>
      <c r="I154" s="35"/>
      <c r="J154" s="35"/>
      <c r="K154" s="35"/>
      <c r="L154" s="35"/>
      <c r="M154" s="35"/>
    </row>
    <row r="155" spans="1:13" x14ac:dyDescent="0.3">
      <c r="A155" s="35"/>
      <c r="B155" s="35"/>
      <c r="C155" s="36">
        <v>46087.373182870368</v>
      </c>
      <c r="D155" s="35" t="s">
        <v>362</v>
      </c>
      <c r="E155" s="35" t="s">
        <v>95</v>
      </c>
      <c r="F155" s="35">
        <v>0</v>
      </c>
      <c r="G155" s="35" t="s">
        <v>504</v>
      </c>
      <c r="H155" s="35"/>
      <c r="I155" s="35"/>
      <c r="J155" s="35"/>
      <c r="K155" s="35"/>
      <c r="L155" s="35"/>
      <c r="M155" s="35"/>
    </row>
    <row r="156" spans="1:13" x14ac:dyDescent="0.3">
      <c r="A156" s="35"/>
      <c r="B156" s="35"/>
      <c r="C156" s="36">
        <v>46087.373298611114</v>
      </c>
      <c r="D156" s="35" t="s">
        <v>362</v>
      </c>
      <c r="E156" s="35" t="s">
        <v>95</v>
      </c>
      <c r="F156" s="35">
        <v>0</v>
      </c>
      <c r="G156" s="35" t="s">
        <v>505</v>
      </c>
      <c r="H156" s="35"/>
      <c r="I156" s="35"/>
      <c r="J156" s="35"/>
      <c r="K156" s="35"/>
      <c r="L156" s="35"/>
      <c r="M156" s="35"/>
    </row>
    <row r="157" spans="1:13" x14ac:dyDescent="0.3">
      <c r="A157" s="35"/>
      <c r="B157" s="35"/>
      <c r="C157" s="36">
        <v>46087.373310185183</v>
      </c>
      <c r="D157" s="35" t="s">
        <v>362</v>
      </c>
      <c r="E157" s="35" t="s">
        <v>95</v>
      </c>
      <c r="F157" s="35">
        <v>0</v>
      </c>
      <c r="G157" s="35" t="s">
        <v>506</v>
      </c>
      <c r="H157" s="35"/>
      <c r="I157" s="35"/>
      <c r="J157" s="35"/>
      <c r="K157" s="35"/>
      <c r="L157" s="35"/>
      <c r="M157" s="35"/>
    </row>
    <row r="158" spans="1:13" x14ac:dyDescent="0.3">
      <c r="A158" s="35"/>
      <c r="B158" s="35"/>
      <c r="C158" s="36">
        <v>46087.373518518521</v>
      </c>
      <c r="D158" s="35" t="s">
        <v>362</v>
      </c>
      <c r="E158" s="35" t="s">
        <v>95</v>
      </c>
      <c r="F158" s="35">
        <v>0</v>
      </c>
      <c r="G158" s="35" t="s">
        <v>507</v>
      </c>
      <c r="H158" s="35"/>
      <c r="I158" s="35"/>
      <c r="J158" s="35"/>
      <c r="K158" s="35"/>
      <c r="L158" s="35"/>
      <c r="M158" s="35"/>
    </row>
    <row r="159" spans="1:13" x14ac:dyDescent="0.3">
      <c r="A159" s="35"/>
      <c r="B159" s="35"/>
      <c r="C159" s="36">
        <v>46087.373599537037</v>
      </c>
      <c r="D159" s="35" t="s">
        <v>362</v>
      </c>
      <c r="E159" s="35" t="s">
        <v>95</v>
      </c>
      <c r="F159" s="35">
        <v>0</v>
      </c>
      <c r="G159" s="35" t="s">
        <v>508</v>
      </c>
      <c r="H159" s="35"/>
      <c r="I159" s="35"/>
      <c r="J159" s="35"/>
      <c r="K159" s="35"/>
      <c r="L159" s="35"/>
      <c r="M159" s="35"/>
    </row>
    <row r="160" spans="1:13" x14ac:dyDescent="0.3">
      <c r="A160" s="35"/>
      <c r="B160" s="35"/>
      <c r="C160" s="36">
        <v>46087.373738425929</v>
      </c>
      <c r="D160" s="35" t="s">
        <v>362</v>
      </c>
      <c r="E160" s="35" t="s">
        <v>95</v>
      </c>
      <c r="F160" s="35">
        <v>0</v>
      </c>
      <c r="G160" s="35" t="s">
        <v>509</v>
      </c>
      <c r="H160" s="35"/>
      <c r="I160" s="35"/>
      <c r="J160" s="35"/>
      <c r="K160" s="35"/>
      <c r="L160" s="35"/>
      <c r="M160" s="35"/>
    </row>
    <row r="161" spans="1:13" x14ac:dyDescent="0.3">
      <c r="A161" s="35"/>
      <c r="B161" s="35"/>
      <c r="C161" s="36">
        <v>46087.373773148145</v>
      </c>
      <c r="D161" s="35" t="s">
        <v>362</v>
      </c>
      <c r="E161" s="35" t="s">
        <v>95</v>
      </c>
      <c r="F161" s="35">
        <v>0</v>
      </c>
      <c r="G161" s="35" t="s">
        <v>510</v>
      </c>
      <c r="H161" s="35"/>
      <c r="I161" s="35"/>
      <c r="J161" s="35"/>
      <c r="K161" s="35"/>
      <c r="L161" s="35"/>
      <c r="M161" s="35"/>
    </row>
    <row r="162" spans="1:13" x14ac:dyDescent="0.3">
      <c r="A162" s="35"/>
      <c r="B162" s="35"/>
      <c r="C162" s="36">
        <v>46087.373831018522</v>
      </c>
      <c r="D162" s="35" t="s">
        <v>362</v>
      </c>
      <c r="E162" s="35" t="s">
        <v>95</v>
      </c>
      <c r="F162" s="35">
        <v>0</v>
      </c>
      <c r="G162" s="35" t="s">
        <v>511</v>
      </c>
      <c r="H162" s="35"/>
      <c r="I162" s="35"/>
      <c r="J162" s="35"/>
      <c r="K162" s="35"/>
      <c r="L162" s="35"/>
      <c r="M162" s="35"/>
    </row>
    <row r="163" spans="1:13" x14ac:dyDescent="0.3">
      <c r="A163" s="35"/>
      <c r="B163" s="35"/>
      <c r="C163" s="36">
        <v>46087.374039351853</v>
      </c>
      <c r="D163" s="35" t="s">
        <v>362</v>
      </c>
      <c r="E163" s="35" t="s">
        <v>95</v>
      </c>
      <c r="F163" s="35">
        <v>0</v>
      </c>
      <c r="G163" s="35" t="s">
        <v>512</v>
      </c>
      <c r="H163" s="35"/>
      <c r="I163" s="35"/>
      <c r="J163" s="35"/>
      <c r="K163" s="35"/>
      <c r="L163" s="35"/>
      <c r="M163" s="35"/>
    </row>
    <row r="164" spans="1:13" x14ac:dyDescent="0.3">
      <c r="A164" s="35"/>
      <c r="B164" s="35"/>
      <c r="C164" s="36">
        <v>46087.374074074076</v>
      </c>
      <c r="D164" s="35" t="s">
        <v>362</v>
      </c>
      <c r="E164" s="35" t="s">
        <v>95</v>
      </c>
      <c r="F164" s="35">
        <v>0</v>
      </c>
      <c r="G164" s="35" t="s">
        <v>513</v>
      </c>
      <c r="H164" s="35"/>
      <c r="I164" s="35"/>
      <c r="J164" s="35"/>
      <c r="K164" s="35"/>
      <c r="L164" s="35"/>
      <c r="M164" s="35"/>
    </row>
    <row r="165" spans="1:13" x14ac:dyDescent="0.3">
      <c r="A165" s="35"/>
      <c r="B165" s="35"/>
      <c r="C165" s="36">
        <v>46087.374212962961</v>
      </c>
      <c r="D165" s="35" t="s">
        <v>350</v>
      </c>
      <c r="E165" s="35" t="s">
        <v>95</v>
      </c>
      <c r="F165" s="35">
        <v>0</v>
      </c>
      <c r="G165" s="35" t="s">
        <v>514</v>
      </c>
      <c r="H165" s="35"/>
      <c r="I165" s="35"/>
      <c r="J165" s="35"/>
      <c r="K165" s="35"/>
      <c r="L165" s="35"/>
      <c r="M165" s="35"/>
    </row>
    <row r="166" spans="1:13" x14ac:dyDescent="0.3">
      <c r="A166" s="35"/>
      <c r="B166" s="35"/>
      <c r="C166" s="36">
        <v>46087.374259259261</v>
      </c>
      <c r="D166" s="35" t="s">
        <v>362</v>
      </c>
      <c r="E166" s="35" t="s">
        <v>95</v>
      </c>
      <c r="F166" s="35">
        <v>0</v>
      </c>
      <c r="G166" s="35" t="s">
        <v>515</v>
      </c>
      <c r="H166" s="35"/>
      <c r="I166" s="35"/>
      <c r="J166" s="35"/>
      <c r="K166" s="35"/>
      <c r="L166" s="35"/>
      <c r="M166" s="35"/>
    </row>
    <row r="167" spans="1:13" x14ac:dyDescent="0.3">
      <c r="A167" s="35"/>
      <c r="B167" s="35"/>
      <c r="C167" s="36">
        <v>46087.37431712963</v>
      </c>
      <c r="D167" s="35" t="s">
        <v>362</v>
      </c>
      <c r="E167" s="35" t="s">
        <v>95</v>
      </c>
      <c r="F167" s="35">
        <v>0</v>
      </c>
      <c r="G167" s="35" t="s">
        <v>516</v>
      </c>
      <c r="H167" s="35"/>
      <c r="I167" s="35"/>
      <c r="J167" s="35"/>
      <c r="K167" s="35"/>
      <c r="L167" s="35"/>
      <c r="M167" s="35"/>
    </row>
    <row r="168" spans="1:13" x14ac:dyDescent="0.3">
      <c r="A168" s="35"/>
      <c r="B168" s="35"/>
      <c r="C168" s="36">
        <v>46087.374340277776</v>
      </c>
      <c r="D168" s="35" t="s">
        <v>362</v>
      </c>
      <c r="E168" s="35" t="s">
        <v>95</v>
      </c>
      <c r="F168" s="35">
        <v>0</v>
      </c>
      <c r="G168" s="35" t="s">
        <v>517</v>
      </c>
      <c r="H168" s="35"/>
      <c r="I168" s="35"/>
      <c r="J168" s="35"/>
      <c r="K168" s="35"/>
      <c r="L168" s="35"/>
      <c r="M168" s="35"/>
    </row>
    <row r="169" spans="1:13" x14ac:dyDescent="0.3">
      <c r="A169" s="35"/>
      <c r="B169" s="35"/>
      <c r="C169" s="36">
        <v>46087.374571759261</v>
      </c>
      <c r="D169" s="35" t="s">
        <v>362</v>
      </c>
      <c r="E169" s="35" t="s">
        <v>95</v>
      </c>
      <c r="F169" s="35">
        <v>0</v>
      </c>
      <c r="G169" s="35" t="s">
        <v>518</v>
      </c>
      <c r="H169" s="35"/>
      <c r="I169" s="35"/>
      <c r="J169" s="35"/>
      <c r="K169" s="35"/>
      <c r="L169" s="35"/>
      <c r="M169" s="35"/>
    </row>
    <row r="170" spans="1:13" x14ac:dyDescent="0.3">
      <c r="A170" s="35"/>
      <c r="B170" s="35"/>
      <c r="C170" s="36">
        <v>46087.374675925923</v>
      </c>
      <c r="D170" s="35" t="s">
        <v>362</v>
      </c>
      <c r="E170" s="35" t="s">
        <v>95</v>
      </c>
      <c r="F170" s="35">
        <v>0</v>
      </c>
      <c r="G170" s="35" t="s">
        <v>519</v>
      </c>
      <c r="H170" s="35"/>
      <c r="I170" s="35"/>
      <c r="J170" s="35"/>
      <c r="K170" s="35"/>
      <c r="L170" s="35"/>
      <c r="M170" s="35"/>
    </row>
    <row r="171" spans="1:13" x14ac:dyDescent="0.3">
      <c r="A171" s="35"/>
      <c r="B171" s="35"/>
      <c r="C171" s="36">
        <v>46087.374791666669</v>
      </c>
      <c r="D171" s="35" t="s">
        <v>362</v>
      </c>
      <c r="E171" s="35" t="s">
        <v>95</v>
      </c>
      <c r="F171" s="35">
        <v>0</v>
      </c>
      <c r="G171" s="35" t="s">
        <v>520</v>
      </c>
      <c r="H171" s="35"/>
      <c r="I171" s="35"/>
      <c r="J171" s="35"/>
      <c r="K171" s="35"/>
      <c r="L171" s="35"/>
      <c r="M171" s="35"/>
    </row>
    <row r="172" spans="1:13" x14ac:dyDescent="0.3">
      <c r="A172" s="35"/>
      <c r="B172" s="35"/>
      <c r="C172" s="36">
        <v>46087.374930555554</v>
      </c>
      <c r="D172" s="35" t="s">
        <v>362</v>
      </c>
      <c r="E172" s="35" t="s">
        <v>95</v>
      </c>
      <c r="F172" s="35">
        <v>0</v>
      </c>
      <c r="G172" s="35" t="s">
        <v>521</v>
      </c>
      <c r="H172" s="35"/>
      <c r="I172" s="35"/>
      <c r="J172" s="35"/>
      <c r="K172" s="35"/>
      <c r="L172" s="35"/>
      <c r="M172" s="35"/>
    </row>
    <row r="173" spans="1:13" x14ac:dyDescent="0.3">
      <c r="A173" s="35"/>
      <c r="B173" s="35"/>
      <c r="C173" s="36">
        <v>46087.374976851854</v>
      </c>
      <c r="D173" s="35" t="s">
        <v>362</v>
      </c>
      <c r="E173" s="35" t="s">
        <v>95</v>
      </c>
      <c r="F173" s="35">
        <v>0</v>
      </c>
      <c r="G173" s="35" t="s">
        <v>522</v>
      </c>
      <c r="H173" s="35"/>
      <c r="I173" s="35"/>
      <c r="J173" s="35"/>
      <c r="K173" s="35"/>
      <c r="L173" s="35"/>
      <c r="M173" s="35"/>
    </row>
    <row r="174" spans="1:13" x14ac:dyDescent="0.3">
      <c r="A174" s="35"/>
      <c r="B174" s="35"/>
      <c r="C174" s="36">
        <v>46087.375127314815</v>
      </c>
      <c r="D174" s="35" t="s">
        <v>362</v>
      </c>
      <c r="E174" s="35" t="s">
        <v>95</v>
      </c>
      <c r="F174" s="35">
        <v>0</v>
      </c>
      <c r="G174" s="35" t="s">
        <v>523</v>
      </c>
      <c r="H174" s="35"/>
      <c r="I174" s="35"/>
      <c r="J174" s="35"/>
      <c r="K174" s="35"/>
      <c r="L174" s="35"/>
      <c r="M174" s="35"/>
    </row>
    <row r="175" spans="1:13" x14ac:dyDescent="0.3">
      <c r="A175" s="35"/>
      <c r="B175" s="35"/>
      <c r="C175" s="36">
        <v>46087.375138888892</v>
      </c>
      <c r="D175" s="35" t="s">
        <v>362</v>
      </c>
      <c r="E175" s="35" t="s">
        <v>95</v>
      </c>
      <c r="F175" s="35">
        <v>0</v>
      </c>
      <c r="G175" s="35" t="s">
        <v>524</v>
      </c>
      <c r="H175" s="35"/>
      <c r="I175" s="35"/>
      <c r="J175" s="35"/>
      <c r="K175" s="35"/>
      <c r="L175" s="35"/>
      <c r="M175" s="35"/>
    </row>
    <row r="176" spans="1:13" x14ac:dyDescent="0.3">
      <c r="A176" s="35"/>
      <c r="B176" s="35"/>
      <c r="C176" s="36">
        <v>46087.375289351854</v>
      </c>
      <c r="D176" s="35" t="s">
        <v>362</v>
      </c>
      <c r="E176" s="35" t="s">
        <v>95</v>
      </c>
      <c r="F176" s="35">
        <v>0</v>
      </c>
      <c r="G176" s="35" t="s">
        <v>525</v>
      </c>
      <c r="H176" s="35"/>
      <c r="I176" s="35"/>
      <c r="J176" s="35"/>
      <c r="K176" s="35"/>
      <c r="L176" s="35"/>
      <c r="M176" s="35"/>
    </row>
    <row r="177" spans="1:13" x14ac:dyDescent="0.3">
      <c r="A177" s="35"/>
      <c r="B177" s="35"/>
      <c r="C177" s="36">
        <v>46087.375381944446</v>
      </c>
      <c r="D177" s="35" t="s">
        <v>362</v>
      </c>
      <c r="E177" s="35" t="s">
        <v>95</v>
      </c>
      <c r="F177" s="35">
        <v>0</v>
      </c>
      <c r="G177" s="35" t="s">
        <v>526</v>
      </c>
      <c r="H177" s="35"/>
      <c r="I177" s="35"/>
      <c r="J177" s="35"/>
      <c r="K177" s="35"/>
      <c r="L177" s="35"/>
      <c r="M177" s="35"/>
    </row>
    <row r="178" spans="1:13" x14ac:dyDescent="0.3">
      <c r="A178" s="35"/>
      <c r="B178" s="35"/>
      <c r="C178" s="36">
        <v>46087.375439814816</v>
      </c>
      <c r="D178" s="35" t="s">
        <v>362</v>
      </c>
      <c r="E178" s="35" t="s">
        <v>95</v>
      </c>
      <c r="F178" s="35">
        <v>0</v>
      </c>
      <c r="G178" s="35" t="s">
        <v>527</v>
      </c>
      <c r="H178" s="35"/>
      <c r="I178" s="35"/>
      <c r="J178" s="35"/>
      <c r="K178" s="35"/>
      <c r="L178" s="35"/>
      <c r="M178" s="35"/>
    </row>
    <row r="179" spans="1:13" x14ac:dyDescent="0.3">
      <c r="A179" s="35"/>
      <c r="B179" s="35"/>
      <c r="C179" s="36">
        <v>46087.375509259262</v>
      </c>
      <c r="D179" s="35" t="s">
        <v>362</v>
      </c>
      <c r="E179" s="35" t="s">
        <v>95</v>
      </c>
      <c r="F179" s="35">
        <v>0</v>
      </c>
      <c r="G179" s="35" t="s">
        <v>528</v>
      </c>
      <c r="H179" s="35"/>
      <c r="I179" s="35"/>
      <c r="J179" s="35"/>
      <c r="K179" s="35"/>
      <c r="L179" s="35"/>
      <c r="M179" s="35"/>
    </row>
    <row r="180" spans="1:13" x14ac:dyDescent="0.3">
      <c r="A180" s="35"/>
      <c r="B180" s="35"/>
      <c r="C180" s="36">
        <v>46087.375532407408</v>
      </c>
      <c r="D180" s="35" t="s">
        <v>362</v>
      </c>
      <c r="E180" s="35" t="s">
        <v>95</v>
      </c>
      <c r="F180" s="35">
        <v>0</v>
      </c>
      <c r="G180" s="35" t="s">
        <v>529</v>
      </c>
      <c r="H180" s="35"/>
      <c r="I180" s="35"/>
      <c r="J180" s="35"/>
      <c r="K180" s="35"/>
      <c r="L180" s="35"/>
      <c r="M180" s="35"/>
    </row>
    <row r="181" spans="1:13" x14ac:dyDescent="0.3">
      <c r="A181" s="35"/>
      <c r="B181" s="35"/>
      <c r="C181" s="36">
        <v>46087.375567129631</v>
      </c>
      <c r="D181" s="35" t="s">
        <v>362</v>
      </c>
      <c r="E181" s="35" t="s">
        <v>95</v>
      </c>
      <c r="F181" s="35">
        <v>0</v>
      </c>
      <c r="G181" s="35" t="s">
        <v>530</v>
      </c>
      <c r="H181" s="35"/>
      <c r="I181" s="35"/>
      <c r="J181" s="35"/>
      <c r="K181" s="35"/>
      <c r="L181" s="35"/>
      <c r="M181" s="35"/>
    </row>
    <row r="182" spans="1:13" x14ac:dyDescent="0.3">
      <c r="A182" s="35"/>
      <c r="B182" s="35"/>
      <c r="C182" s="36">
        <v>46087.375636574077</v>
      </c>
      <c r="D182" s="35" t="s">
        <v>362</v>
      </c>
      <c r="E182" s="35" t="s">
        <v>95</v>
      </c>
      <c r="F182" s="35">
        <v>0</v>
      </c>
      <c r="G182" s="35" t="s">
        <v>531</v>
      </c>
      <c r="H182" s="35"/>
      <c r="I182" s="35"/>
      <c r="J182" s="35"/>
      <c r="K182" s="35"/>
      <c r="L182" s="35"/>
      <c r="M182" s="35"/>
    </row>
    <row r="183" spans="1:13" x14ac:dyDescent="0.3">
      <c r="A183" s="35"/>
      <c r="B183" s="35"/>
      <c r="C183" s="36">
        <v>46087.375648148147</v>
      </c>
      <c r="D183" s="35" t="s">
        <v>362</v>
      </c>
      <c r="E183" s="35" t="s">
        <v>95</v>
      </c>
      <c r="F183" s="35">
        <v>0</v>
      </c>
      <c r="G183" s="35" t="s">
        <v>532</v>
      </c>
      <c r="H183" s="35"/>
      <c r="I183" s="35"/>
      <c r="J183" s="35"/>
      <c r="K183" s="35"/>
      <c r="L183" s="35"/>
      <c r="M183" s="35"/>
    </row>
    <row r="184" spans="1:13" x14ac:dyDescent="0.3">
      <c r="A184" s="35"/>
      <c r="B184" s="35"/>
      <c r="C184" s="36">
        <v>46087.376030092593</v>
      </c>
      <c r="D184" s="35" t="s">
        <v>362</v>
      </c>
      <c r="E184" s="35" t="s">
        <v>95</v>
      </c>
      <c r="F184" s="35">
        <v>0</v>
      </c>
      <c r="G184" s="35" t="s">
        <v>533</v>
      </c>
      <c r="H184" s="35"/>
      <c r="I184" s="35"/>
      <c r="J184" s="35"/>
      <c r="K184" s="35"/>
      <c r="L184" s="35"/>
      <c r="M184" s="35"/>
    </row>
    <row r="185" spans="1:13" x14ac:dyDescent="0.3">
      <c r="A185" s="35"/>
      <c r="B185" s="35"/>
      <c r="C185" s="36">
        <v>46087.37604166667</v>
      </c>
      <c r="D185" s="35" t="s">
        <v>362</v>
      </c>
      <c r="E185" s="35" t="s">
        <v>95</v>
      </c>
      <c r="F185" s="35">
        <v>0</v>
      </c>
      <c r="G185" s="35" t="s">
        <v>534</v>
      </c>
      <c r="H185" s="35"/>
      <c r="I185" s="35"/>
      <c r="J185" s="35"/>
      <c r="K185" s="35"/>
      <c r="L185" s="35"/>
      <c r="M185" s="35"/>
    </row>
    <row r="186" spans="1:13" x14ac:dyDescent="0.3">
      <c r="A186" s="35"/>
      <c r="B186" s="35"/>
      <c r="C186" s="36">
        <v>46087.376064814816</v>
      </c>
      <c r="D186" s="35" t="s">
        <v>362</v>
      </c>
      <c r="E186" s="35" t="s">
        <v>95</v>
      </c>
      <c r="F186" s="35">
        <v>0</v>
      </c>
      <c r="G186" s="35" t="s">
        <v>535</v>
      </c>
      <c r="H186" s="35"/>
      <c r="I186" s="35"/>
      <c r="J186" s="35"/>
      <c r="K186" s="35"/>
      <c r="L186" s="35"/>
      <c r="M186" s="35"/>
    </row>
    <row r="187" spans="1:13" x14ac:dyDescent="0.3">
      <c r="A187" s="35"/>
      <c r="B187" s="35"/>
      <c r="C187" s="36">
        <v>46087.376388888886</v>
      </c>
      <c r="D187" s="35" t="s">
        <v>362</v>
      </c>
      <c r="E187" s="35" t="s">
        <v>95</v>
      </c>
      <c r="F187" s="35">
        <v>0</v>
      </c>
      <c r="G187" s="35" t="s">
        <v>536</v>
      </c>
      <c r="H187" s="35"/>
      <c r="I187" s="35"/>
      <c r="J187" s="35"/>
      <c r="K187" s="35"/>
      <c r="L187" s="35"/>
      <c r="M187" s="35"/>
    </row>
    <row r="188" spans="1:13" x14ac:dyDescent="0.3">
      <c r="A188" s="35"/>
      <c r="B188" s="35"/>
      <c r="C188" s="36">
        <v>46087.376469907409</v>
      </c>
      <c r="D188" s="35" t="s">
        <v>362</v>
      </c>
      <c r="E188" s="35" t="s">
        <v>95</v>
      </c>
      <c r="F188" s="35">
        <v>0</v>
      </c>
      <c r="G188" s="35" t="s">
        <v>537</v>
      </c>
      <c r="H188" s="35"/>
      <c r="I188" s="35"/>
      <c r="J188" s="35"/>
      <c r="K188" s="35"/>
      <c r="L188" s="35"/>
      <c r="M188" s="35"/>
    </row>
    <row r="189" spans="1:13" x14ac:dyDescent="0.3">
      <c r="A189" s="35"/>
      <c r="B189" s="35"/>
      <c r="C189" s="36">
        <v>46087.376550925925</v>
      </c>
      <c r="D189" s="35" t="s">
        <v>362</v>
      </c>
      <c r="E189" s="35" t="s">
        <v>95</v>
      </c>
      <c r="F189" s="35">
        <v>0</v>
      </c>
      <c r="G189" s="35" t="s">
        <v>538</v>
      </c>
      <c r="H189" s="35"/>
      <c r="I189" s="35"/>
      <c r="J189" s="35"/>
      <c r="K189" s="35"/>
      <c r="L189" s="35"/>
      <c r="M189" s="35"/>
    </row>
    <row r="190" spans="1:13" x14ac:dyDescent="0.3">
      <c r="A190" s="35"/>
      <c r="B190" s="35"/>
      <c r="C190" s="36">
        <v>46087.376562500001</v>
      </c>
      <c r="D190" s="35" t="s">
        <v>362</v>
      </c>
      <c r="E190" s="35" t="s">
        <v>95</v>
      </c>
      <c r="F190" s="35">
        <v>0</v>
      </c>
      <c r="G190" s="35" t="s">
        <v>539</v>
      </c>
      <c r="H190" s="35"/>
      <c r="I190" s="35"/>
      <c r="J190" s="35"/>
      <c r="K190" s="35"/>
      <c r="L190" s="35"/>
      <c r="M190" s="35"/>
    </row>
    <row r="191" spans="1:13" x14ac:dyDescent="0.3">
      <c r="A191" s="35"/>
      <c r="B191" s="35"/>
      <c r="C191" s="36">
        <v>46087.376620370371</v>
      </c>
      <c r="D191" s="35" t="s">
        <v>362</v>
      </c>
      <c r="E191" s="35" t="s">
        <v>95</v>
      </c>
      <c r="F191" s="35">
        <v>0</v>
      </c>
      <c r="G191" s="35" t="s">
        <v>540</v>
      </c>
      <c r="H191" s="35"/>
      <c r="I191" s="35"/>
      <c r="J191" s="35"/>
      <c r="K191" s="35"/>
      <c r="L191" s="35"/>
      <c r="M191" s="35"/>
    </row>
    <row r="192" spans="1:13" x14ac:dyDescent="0.3">
      <c r="A192" s="35"/>
      <c r="B192" s="35"/>
      <c r="C192" s="36">
        <v>46087.376666666663</v>
      </c>
      <c r="D192" s="35" t="s">
        <v>362</v>
      </c>
      <c r="E192" s="35" t="s">
        <v>95</v>
      </c>
      <c r="F192" s="35">
        <v>0</v>
      </c>
      <c r="G192" s="35" t="s">
        <v>541</v>
      </c>
      <c r="H192" s="35"/>
      <c r="I192" s="35"/>
      <c r="J192" s="35"/>
      <c r="K192" s="35"/>
      <c r="L192" s="35"/>
      <c r="M192" s="35"/>
    </row>
    <row r="193" spans="1:13" x14ac:dyDescent="0.3">
      <c r="A193" s="35"/>
      <c r="B193" s="35"/>
      <c r="C193" s="36">
        <v>46087.376689814817</v>
      </c>
      <c r="D193" s="35" t="s">
        <v>362</v>
      </c>
      <c r="E193" s="35" t="s">
        <v>95</v>
      </c>
      <c r="F193" s="35">
        <v>0</v>
      </c>
      <c r="G193" s="35" t="s">
        <v>542</v>
      </c>
      <c r="H193" s="35"/>
      <c r="I193" s="35"/>
      <c r="J193" s="35"/>
      <c r="K193" s="35"/>
      <c r="L193" s="35"/>
      <c r="M193" s="35"/>
    </row>
    <row r="194" spans="1:13" x14ac:dyDescent="0.3">
      <c r="A194" s="35"/>
      <c r="B194" s="35"/>
      <c r="C194" s="36">
        <v>46087.376759259256</v>
      </c>
      <c r="D194" s="35" t="s">
        <v>350</v>
      </c>
      <c r="E194" s="35" t="s">
        <v>95</v>
      </c>
      <c r="F194" s="35">
        <v>0</v>
      </c>
      <c r="G194" s="35" t="s">
        <v>543</v>
      </c>
      <c r="H194" s="35"/>
      <c r="I194" s="35"/>
      <c r="J194" s="35"/>
      <c r="K194" s="35"/>
      <c r="L194" s="35"/>
      <c r="M194" s="35"/>
    </row>
    <row r="195" spans="1:13" x14ac:dyDescent="0.3">
      <c r="A195" s="35"/>
      <c r="B195" s="35"/>
      <c r="C195" s="36">
        <v>46087.376967592594</v>
      </c>
      <c r="D195" s="35" t="s">
        <v>362</v>
      </c>
      <c r="E195" s="35" t="s">
        <v>95</v>
      </c>
      <c r="F195" s="35">
        <v>0</v>
      </c>
      <c r="G195" s="35" t="s">
        <v>544</v>
      </c>
      <c r="H195" s="35"/>
      <c r="I195" s="35"/>
      <c r="J195" s="35"/>
      <c r="K195" s="35"/>
      <c r="L195" s="35"/>
      <c r="M195" s="35"/>
    </row>
    <row r="196" spans="1:13" x14ac:dyDescent="0.3">
      <c r="A196" s="35"/>
      <c r="B196" s="35"/>
      <c r="C196" s="36">
        <v>46087.377071759256</v>
      </c>
      <c r="D196" s="35" t="s">
        <v>362</v>
      </c>
      <c r="E196" s="35" t="s">
        <v>95</v>
      </c>
      <c r="F196" s="35">
        <v>0</v>
      </c>
      <c r="G196" s="35" t="s">
        <v>545</v>
      </c>
      <c r="H196" s="35"/>
      <c r="I196" s="35"/>
      <c r="J196" s="35"/>
      <c r="K196" s="35"/>
      <c r="L196" s="35"/>
      <c r="M196" s="35"/>
    </row>
    <row r="197" spans="1:13" x14ac:dyDescent="0.3">
      <c r="A197" s="35"/>
      <c r="B197" s="35"/>
      <c r="C197" s="36">
        <v>46087.377233796295</v>
      </c>
      <c r="D197" s="35" t="s">
        <v>362</v>
      </c>
      <c r="E197" s="35" t="s">
        <v>95</v>
      </c>
      <c r="F197" s="35">
        <v>0</v>
      </c>
      <c r="G197" s="35" t="s">
        <v>546</v>
      </c>
      <c r="H197" s="35"/>
      <c r="I197" s="35"/>
      <c r="J197" s="35"/>
      <c r="K197" s="35"/>
      <c r="L197" s="35"/>
      <c r="M197" s="35"/>
    </row>
    <row r="198" spans="1:13" x14ac:dyDescent="0.3">
      <c r="A198" s="35"/>
      <c r="B198" s="35"/>
      <c r="C198" s="36">
        <v>46087.377291666664</v>
      </c>
      <c r="D198" s="35" t="s">
        <v>362</v>
      </c>
      <c r="E198" s="35" t="s">
        <v>95</v>
      </c>
      <c r="F198" s="35">
        <v>0</v>
      </c>
      <c r="G198" s="35" t="s">
        <v>547</v>
      </c>
      <c r="H198" s="35"/>
      <c r="I198" s="35"/>
      <c r="J198" s="35"/>
      <c r="K198" s="35"/>
      <c r="L198" s="35"/>
      <c r="M198" s="35"/>
    </row>
    <row r="199" spans="1:13" x14ac:dyDescent="0.3">
      <c r="A199" s="35"/>
      <c r="B199" s="35"/>
      <c r="C199" s="36">
        <v>46087.377314814818</v>
      </c>
      <c r="D199" s="35" t="s">
        <v>362</v>
      </c>
      <c r="E199" s="35" t="s">
        <v>95</v>
      </c>
      <c r="F199" s="35">
        <v>0</v>
      </c>
      <c r="G199" s="35" t="s">
        <v>548</v>
      </c>
      <c r="H199" s="35"/>
      <c r="I199" s="35"/>
      <c r="J199" s="35"/>
      <c r="K199" s="35"/>
      <c r="L199" s="35"/>
      <c r="M199" s="35"/>
    </row>
    <row r="200" spans="1:13" x14ac:dyDescent="0.3">
      <c r="A200" s="35"/>
      <c r="B200" s="35"/>
      <c r="C200" s="36">
        <v>46087.377418981479</v>
      </c>
      <c r="D200" s="35" t="s">
        <v>362</v>
      </c>
      <c r="E200" s="35" t="s">
        <v>95</v>
      </c>
      <c r="F200" s="35">
        <v>0</v>
      </c>
      <c r="G200" s="35" t="s">
        <v>549</v>
      </c>
      <c r="H200" s="35"/>
      <c r="I200" s="35"/>
      <c r="J200" s="35"/>
      <c r="K200" s="35"/>
      <c r="L200" s="35"/>
      <c r="M200" s="35"/>
    </row>
    <row r="201" spans="1:13" x14ac:dyDescent="0.3">
      <c r="A201" s="35"/>
      <c r="B201" s="35"/>
      <c r="C201" s="36">
        <v>46087.377488425926</v>
      </c>
      <c r="D201" s="35" t="s">
        <v>362</v>
      </c>
      <c r="E201" s="35" t="s">
        <v>95</v>
      </c>
      <c r="F201" s="35">
        <v>0</v>
      </c>
      <c r="G201" s="35" t="s">
        <v>550</v>
      </c>
      <c r="H201" s="35"/>
      <c r="I201" s="35"/>
      <c r="J201" s="35"/>
      <c r="K201" s="35"/>
      <c r="L201" s="35"/>
      <c r="M201" s="35"/>
    </row>
    <row r="202" spans="1:13" x14ac:dyDescent="0.3">
      <c r="A202" s="35"/>
      <c r="B202" s="35"/>
      <c r="C202" s="36">
        <v>46087.377824074072</v>
      </c>
      <c r="D202" s="35" t="s">
        <v>362</v>
      </c>
      <c r="E202" s="35" t="s">
        <v>95</v>
      </c>
      <c r="F202" s="35">
        <v>0</v>
      </c>
      <c r="G202" s="35" t="s">
        <v>551</v>
      </c>
      <c r="H202" s="35"/>
      <c r="I202" s="35"/>
      <c r="J202" s="35"/>
      <c r="K202" s="35"/>
      <c r="L202" s="35"/>
      <c r="M202" s="35"/>
    </row>
    <row r="203" spans="1:13" x14ac:dyDescent="0.3">
      <c r="A203" s="35"/>
      <c r="B203" s="35"/>
      <c r="C203" s="36">
        <v>46087.377893518518</v>
      </c>
      <c r="D203" s="35" t="s">
        <v>362</v>
      </c>
      <c r="E203" s="35" t="s">
        <v>95</v>
      </c>
      <c r="F203" s="35">
        <v>0</v>
      </c>
      <c r="G203" s="35" t="s">
        <v>552</v>
      </c>
      <c r="H203" s="35"/>
      <c r="I203" s="35"/>
      <c r="J203" s="35"/>
      <c r="K203" s="35"/>
      <c r="L203" s="35"/>
      <c r="M203" s="35"/>
    </row>
    <row r="204" spans="1:13" x14ac:dyDescent="0.3">
      <c r="A204" s="35"/>
      <c r="B204" s="35"/>
      <c r="C204" s="36">
        <v>46087.378009259257</v>
      </c>
      <c r="D204" s="35" t="s">
        <v>362</v>
      </c>
      <c r="E204" s="35" t="s">
        <v>95</v>
      </c>
      <c r="F204" s="35">
        <v>0</v>
      </c>
      <c r="G204" s="35" t="s">
        <v>553</v>
      </c>
      <c r="H204" s="35"/>
      <c r="I204" s="35"/>
      <c r="J204" s="35"/>
      <c r="K204" s="35"/>
      <c r="L204" s="35"/>
      <c r="M204" s="35"/>
    </row>
    <row r="205" spans="1:13" x14ac:dyDescent="0.3">
      <c r="A205" s="35"/>
      <c r="B205" s="35"/>
      <c r="C205" s="36">
        <v>46087.378136574072</v>
      </c>
      <c r="D205" s="35" t="s">
        <v>362</v>
      </c>
      <c r="E205" s="35" t="s">
        <v>95</v>
      </c>
      <c r="F205" s="35">
        <v>0</v>
      </c>
      <c r="G205" s="35" t="s">
        <v>554</v>
      </c>
      <c r="H205" s="35"/>
      <c r="I205" s="35"/>
      <c r="J205" s="35"/>
      <c r="K205" s="35"/>
      <c r="L205" s="35"/>
      <c r="M205" s="35"/>
    </row>
    <row r="206" spans="1:13" x14ac:dyDescent="0.3">
      <c r="A206" s="35"/>
      <c r="B206" s="35"/>
      <c r="C206" s="36">
        <v>46087.378159722219</v>
      </c>
      <c r="D206" s="35" t="s">
        <v>362</v>
      </c>
      <c r="E206" s="35" t="s">
        <v>95</v>
      </c>
      <c r="F206" s="35">
        <v>0</v>
      </c>
      <c r="G206" s="35" t="s">
        <v>555</v>
      </c>
      <c r="H206" s="35"/>
      <c r="I206" s="35"/>
      <c r="J206" s="35"/>
      <c r="K206" s="35"/>
      <c r="L206" s="35"/>
      <c r="M206" s="35"/>
    </row>
    <row r="207" spans="1:13" x14ac:dyDescent="0.3">
      <c r="A207" s="35"/>
      <c r="B207" s="35"/>
      <c r="C207" s="36">
        <v>46087.378263888888</v>
      </c>
      <c r="D207" s="35" t="s">
        <v>362</v>
      </c>
      <c r="E207" s="35" t="s">
        <v>95</v>
      </c>
      <c r="F207" s="35">
        <v>0</v>
      </c>
      <c r="G207" s="35" t="s">
        <v>556</v>
      </c>
      <c r="H207" s="35"/>
      <c r="I207" s="35"/>
      <c r="J207" s="35"/>
      <c r="K207" s="35"/>
      <c r="L207" s="35"/>
      <c r="M207" s="35"/>
    </row>
    <row r="208" spans="1:13" x14ac:dyDescent="0.3">
      <c r="A208" s="35"/>
      <c r="B208" s="35"/>
      <c r="C208" s="36">
        <v>46087.378680555557</v>
      </c>
      <c r="D208" s="35" t="s">
        <v>362</v>
      </c>
      <c r="E208" s="35" t="s">
        <v>95</v>
      </c>
      <c r="F208" s="35">
        <v>0</v>
      </c>
      <c r="G208" s="35" t="s">
        <v>557</v>
      </c>
      <c r="H208" s="35"/>
      <c r="I208" s="35"/>
      <c r="J208" s="35"/>
      <c r="K208" s="35"/>
      <c r="L208" s="35"/>
      <c r="M208" s="35"/>
    </row>
    <row r="209" spans="1:13" x14ac:dyDescent="0.3">
      <c r="A209" s="35"/>
      <c r="B209" s="35"/>
      <c r="C209" s="36">
        <v>46087.379444444443</v>
      </c>
      <c r="D209" s="35" t="s">
        <v>362</v>
      </c>
      <c r="E209" s="35" t="s">
        <v>95</v>
      </c>
      <c r="F209" s="35">
        <v>0</v>
      </c>
      <c r="G209" s="35" t="s">
        <v>558</v>
      </c>
      <c r="H209" s="35"/>
      <c r="I209" s="35"/>
      <c r="J209" s="35"/>
      <c r="K209" s="35"/>
      <c r="L209" s="35"/>
      <c r="M209" s="35"/>
    </row>
    <row r="210" spans="1:13" x14ac:dyDescent="0.3">
      <c r="A210" s="35"/>
      <c r="B210" s="35"/>
      <c r="C210" s="36">
        <v>46087.379490740743</v>
      </c>
      <c r="D210" s="35" t="s">
        <v>362</v>
      </c>
      <c r="E210" s="35" t="s">
        <v>95</v>
      </c>
      <c r="F210" s="35">
        <v>0</v>
      </c>
      <c r="G210" s="35" t="s">
        <v>559</v>
      </c>
      <c r="H210" s="35"/>
      <c r="I210" s="35"/>
      <c r="J210" s="35"/>
      <c r="K210" s="35"/>
      <c r="L210" s="35"/>
      <c r="M210" s="35"/>
    </row>
    <row r="211" spans="1:13" x14ac:dyDescent="0.3">
      <c r="A211" s="35"/>
      <c r="B211" s="35"/>
      <c r="C211" s="36">
        <v>46087.379513888889</v>
      </c>
      <c r="D211" s="35" t="s">
        <v>362</v>
      </c>
      <c r="E211" s="35" t="s">
        <v>95</v>
      </c>
      <c r="F211" s="35">
        <v>0</v>
      </c>
      <c r="G211" s="35" t="s">
        <v>560</v>
      </c>
      <c r="H211" s="35"/>
      <c r="I211" s="35"/>
      <c r="J211" s="35"/>
      <c r="K211" s="35"/>
      <c r="L211" s="35"/>
      <c r="M211" s="35"/>
    </row>
    <row r="212" spans="1:13" x14ac:dyDescent="0.3">
      <c r="A212" s="35"/>
      <c r="B212" s="35"/>
      <c r="C212" s="36">
        <v>46087.379560185182</v>
      </c>
      <c r="D212" s="35" t="s">
        <v>362</v>
      </c>
      <c r="E212" s="35" t="s">
        <v>95</v>
      </c>
      <c r="F212" s="35">
        <v>0</v>
      </c>
      <c r="G212" s="35" t="s">
        <v>561</v>
      </c>
      <c r="H212" s="35"/>
      <c r="I212" s="35"/>
      <c r="J212" s="35"/>
      <c r="K212" s="35"/>
      <c r="L212" s="35"/>
      <c r="M212" s="35"/>
    </row>
    <row r="213" spans="1:13" x14ac:dyDescent="0.3">
      <c r="A213" s="35"/>
      <c r="B213" s="35"/>
      <c r="C213" s="36">
        <v>46087.379664351851</v>
      </c>
      <c r="D213" s="35" t="s">
        <v>362</v>
      </c>
      <c r="E213" s="35" t="s">
        <v>95</v>
      </c>
      <c r="F213" s="35">
        <v>0</v>
      </c>
      <c r="G213" s="35" t="s">
        <v>562</v>
      </c>
      <c r="H213" s="35"/>
      <c r="I213" s="35"/>
      <c r="J213" s="35"/>
      <c r="K213" s="35"/>
      <c r="L213" s="35"/>
      <c r="M213" s="35"/>
    </row>
    <row r="214" spans="1:13" x14ac:dyDescent="0.3">
      <c r="A214" s="35"/>
      <c r="B214" s="35"/>
      <c r="C214" s="36">
        <v>46087.37972222222</v>
      </c>
      <c r="D214" s="35" t="s">
        <v>362</v>
      </c>
      <c r="E214" s="35" t="s">
        <v>95</v>
      </c>
      <c r="F214" s="35">
        <v>0</v>
      </c>
      <c r="G214" s="35" t="s">
        <v>563</v>
      </c>
      <c r="H214" s="35"/>
      <c r="I214" s="35"/>
      <c r="J214" s="35"/>
      <c r="K214" s="35"/>
      <c r="L214" s="35"/>
      <c r="M214" s="35"/>
    </row>
    <row r="215" spans="1:13" x14ac:dyDescent="0.3">
      <c r="A215" s="35"/>
      <c r="B215" s="35"/>
      <c r="C215" s="36">
        <v>46087.379745370374</v>
      </c>
      <c r="D215" s="35" t="s">
        <v>362</v>
      </c>
      <c r="E215" s="35" t="s">
        <v>95</v>
      </c>
      <c r="F215" s="35">
        <v>0</v>
      </c>
      <c r="G215" s="35" t="s">
        <v>564</v>
      </c>
      <c r="H215" s="35"/>
      <c r="I215" s="35"/>
      <c r="J215" s="35"/>
      <c r="K215" s="35"/>
      <c r="L215" s="35"/>
      <c r="M215" s="35"/>
    </row>
    <row r="216" spans="1:13" x14ac:dyDescent="0.3">
      <c r="A216" s="35"/>
      <c r="B216" s="35"/>
      <c r="C216" s="36">
        <v>46087.379872685182</v>
      </c>
      <c r="D216" s="35" t="s">
        <v>362</v>
      </c>
      <c r="E216" s="35" t="s">
        <v>95</v>
      </c>
      <c r="F216" s="35">
        <v>0</v>
      </c>
      <c r="G216" s="35" t="s">
        <v>565</v>
      </c>
      <c r="H216" s="35"/>
      <c r="I216" s="35"/>
      <c r="J216" s="35"/>
      <c r="K216" s="35"/>
      <c r="L216" s="35"/>
      <c r="M216" s="35"/>
    </row>
    <row r="217" spans="1:13" x14ac:dyDescent="0.3">
      <c r="A217" s="35"/>
      <c r="B217" s="35"/>
      <c r="C217" s="36">
        <v>46087.379976851851</v>
      </c>
      <c r="D217" s="35" t="s">
        <v>362</v>
      </c>
      <c r="E217" s="35" t="s">
        <v>95</v>
      </c>
      <c r="F217" s="35">
        <v>0</v>
      </c>
      <c r="G217" s="35" t="s">
        <v>566</v>
      </c>
      <c r="H217" s="35"/>
      <c r="I217" s="35"/>
      <c r="J217" s="35"/>
      <c r="K217" s="35"/>
      <c r="L217" s="35"/>
      <c r="M217" s="35"/>
    </row>
    <row r="218" spans="1:13" x14ac:dyDescent="0.3">
      <c r="A218" s="35"/>
      <c r="B218" s="35"/>
      <c r="C218" s="36">
        <v>46087.380150462966</v>
      </c>
      <c r="D218" s="35" t="s">
        <v>362</v>
      </c>
      <c r="E218" s="35" t="s">
        <v>95</v>
      </c>
      <c r="F218" s="35">
        <v>0</v>
      </c>
      <c r="G218" s="35" t="s">
        <v>567</v>
      </c>
      <c r="H218" s="35"/>
      <c r="I218" s="35"/>
      <c r="J218" s="35"/>
      <c r="K218" s="35"/>
      <c r="L218" s="35"/>
      <c r="M218" s="35"/>
    </row>
    <row r="219" spans="1:13" x14ac:dyDescent="0.3">
      <c r="A219" s="35"/>
      <c r="B219" s="35"/>
      <c r="C219" s="36">
        <v>46087.380185185182</v>
      </c>
      <c r="D219" s="35" t="s">
        <v>362</v>
      </c>
      <c r="E219" s="35" t="s">
        <v>95</v>
      </c>
      <c r="F219" s="35">
        <v>0</v>
      </c>
      <c r="G219" s="35" t="s">
        <v>568</v>
      </c>
      <c r="H219" s="35"/>
      <c r="I219" s="35"/>
      <c r="J219" s="35"/>
      <c r="K219" s="35"/>
      <c r="L219" s="35"/>
      <c r="M219" s="35"/>
    </row>
    <row r="220" spans="1:13" x14ac:dyDescent="0.3">
      <c r="A220" s="35"/>
      <c r="B220" s="35"/>
      <c r="C220" s="36">
        <v>46087.380509259259</v>
      </c>
      <c r="D220" s="35" t="s">
        <v>362</v>
      </c>
      <c r="E220" s="35" t="s">
        <v>95</v>
      </c>
      <c r="F220" s="35">
        <v>0</v>
      </c>
      <c r="G220" s="35" t="s">
        <v>569</v>
      </c>
      <c r="H220" s="35"/>
      <c r="I220" s="35"/>
      <c r="J220" s="35"/>
      <c r="K220" s="35"/>
      <c r="L220" s="35"/>
      <c r="M220" s="35"/>
    </row>
    <row r="221" spans="1:13" x14ac:dyDescent="0.3">
      <c r="A221" s="35"/>
      <c r="B221" s="35"/>
      <c r="C221" s="36">
        <v>46087.380601851852</v>
      </c>
      <c r="D221" s="35" t="s">
        <v>362</v>
      </c>
      <c r="E221" s="35" t="s">
        <v>95</v>
      </c>
      <c r="F221" s="35">
        <v>0</v>
      </c>
      <c r="G221" s="35" t="s">
        <v>570</v>
      </c>
      <c r="H221" s="35"/>
      <c r="I221" s="35"/>
      <c r="J221" s="35"/>
      <c r="K221" s="35"/>
      <c r="L221" s="35"/>
      <c r="M221" s="35"/>
    </row>
    <row r="222" spans="1:13" x14ac:dyDescent="0.3">
      <c r="A222" s="35"/>
      <c r="B222" s="35"/>
      <c r="C222" s="36">
        <v>46087.383148148147</v>
      </c>
      <c r="D222" s="35" t="s">
        <v>362</v>
      </c>
      <c r="E222" s="35" t="s">
        <v>95</v>
      </c>
      <c r="F222" s="35">
        <v>0</v>
      </c>
      <c r="G222" s="35" t="s">
        <v>571</v>
      </c>
      <c r="H222" s="35"/>
      <c r="I222" s="35"/>
      <c r="J222" s="35"/>
      <c r="K222" s="35"/>
      <c r="L222" s="35"/>
      <c r="M222" s="35"/>
    </row>
    <row r="223" spans="1:13" x14ac:dyDescent="0.3">
      <c r="A223" s="35"/>
      <c r="B223" s="35"/>
      <c r="C223" s="36">
        <v>46087.383356481485</v>
      </c>
      <c r="D223" s="35" t="s">
        <v>362</v>
      </c>
      <c r="E223" s="35" t="s">
        <v>95</v>
      </c>
      <c r="F223" s="35">
        <v>0</v>
      </c>
      <c r="G223" s="35" t="s">
        <v>572</v>
      </c>
      <c r="H223" s="35"/>
      <c r="I223" s="35"/>
      <c r="J223" s="35"/>
      <c r="K223" s="35"/>
      <c r="L223" s="35"/>
      <c r="M223" s="35"/>
    </row>
    <row r="224" spans="1:13" x14ac:dyDescent="0.3">
      <c r="A224" s="35"/>
      <c r="B224" s="35"/>
      <c r="C224" s="36">
        <v>46087.383379629631</v>
      </c>
      <c r="D224" s="35" t="s">
        <v>362</v>
      </c>
      <c r="E224" s="35" t="s">
        <v>95</v>
      </c>
      <c r="F224" s="35">
        <v>0</v>
      </c>
      <c r="G224" s="35" t="s">
        <v>573</v>
      </c>
      <c r="H224" s="35"/>
      <c r="I224" s="35"/>
      <c r="J224" s="35"/>
      <c r="K224" s="35"/>
      <c r="L224" s="35"/>
      <c r="M224" s="35"/>
    </row>
    <row r="225" spans="1:13" x14ac:dyDescent="0.3">
      <c r="A225" s="35"/>
      <c r="B225" s="35"/>
      <c r="C225" s="36">
        <v>46087.383414351854</v>
      </c>
      <c r="D225" s="35" t="s">
        <v>362</v>
      </c>
      <c r="E225" s="35" t="s">
        <v>95</v>
      </c>
      <c r="F225" s="35">
        <v>0</v>
      </c>
      <c r="G225" s="35" t="s">
        <v>574</v>
      </c>
      <c r="H225" s="35"/>
      <c r="I225" s="35"/>
      <c r="J225" s="35"/>
      <c r="K225" s="35"/>
      <c r="L225" s="35"/>
      <c r="M225" s="35"/>
    </row>
    <row r="226" spans="1:13" x14ac:dyDescent="0.3">
      <c r="A226" s="35"/>
      <c r="B226" s="35"/>
      <c r="C226" s="36">
        <v>46087.383796296293</v>
      </c>
      <c r="D226" s="35" t="s">
        <v>362</v>
      </c>
      <c r="E226" s="35" t="s">
        <v>95</v>
      </c>
      <c r="F226" s="35">
        <v>0</v>
      </c>
      <c r="G226" s="35" t="s">
        <v>575</v>
      </c>
      <c r="H226" s="35"/>
      <c r="I226" s="35"/>
      <c r="J226" s="35"/>
      <c r="K226" s="35"/>
      <c r="L226" s="35"/>
      <c r="M226" s="35"/>
    </row>
    <row r="227" spans="1:13" x14ac:dyDescent="0.3">
      <c r="A227" s="35"/>
      <c r="B227" s="35"/>
      <c r="C227" s="36">
        <v>46087.383900462963</v>
      </c>
      <c r="D227" s="35" t="s">
        <v>362</v>
      </c>
      <c r="E227" s="35" t="s">
        <v>95</v>
      </c>
      <c r="F227" s="35">
        <v>0</v>
      </c>
      <c r="G227" s="35" t="s">
        <v>576</v>
      </c>
      <c r="H227" s="35"/>
      <c r="I227" s="35"/>
      <c r="J227" s="35"/>
      <c r="K227" s="35"/>
      <c r="L227" s="35"/>
      <c r="M227" s="35"/>
    </row>
    <row r="228" spans="1:13" x14ac:dyDescent="0.3">
      <c r="A228" s="35"/>
      <c r="B228" s="35"/>
      <c r="C228" s="36">
        <v>46087.383923611109</v>
      </c>
      <c r="D228" s="35" t="s">
        <v>362</v>
      </c>
      <c r="E228" s="35" t="s">
        <v>95</v>
      </c>
      <c r="F228" s="35">
        <v>0</v>
      </c>
      <c r="G228" s="35" t="s">
        <v>577</v>
      </c>
      <c r="H228" s="35"/>
      <c r="I228" s="35"/>
      <c r="J228" s="35"/>
      <c r="K228" s="35"/>
      <c r="L228" s="35"/>
      <c r="M228" s="35"/>
    </row>
    <row r="229" spans="1:13" x14ac:dyDescent="0.3">
      <c r="A229" s="35"/>
      <c r="B229" s="35"/>
      <c r="C229" s="36">
        <v>46087.383935185186</v>
      </c>
      <c r="D229" s="35" t="s">
        <v>362</v>
      </c>
      <c r="E229" s="35" t="s">
        <v>95</v>
      </c>
      <c r="F229" s="35">
        <v>0</v>
      </c>
      <c r="G229" s="35" t="s">
        <v>578</v>
      </c>
      <c r="H229" s="35"/>
      <c r="I229" s="35"/>
      <c r="J229" s="35"/>
      <c r="K229" s="35"/>
      <c r="L229" s="35"/>
      <c r="M229" s="35"/>
    </row>
    <row r="230" spans="1:13" x14ac:dyDescent="0.3">
      <c r="A230" s="35"/>
      <c r="B230" s="35"/>
      <c r="C230" s="36">
        <v>46087.384432870371</v>
      </c>
      <c r="D230" s="35" t="s">
        <v>362</v>
      </c>
      <c r="E230" s="35" t="s">
        <v>95</v>
      </c>
      <c r="F230" s="35">
        <v>0</v>
      </c>
      <c r="G230" s="35" t="s">
        <v>579</v>
      </c>
      <c r="H230" s="35"/>
      <c r="I230" s="35"/>
      <c r="J230" s="35"/>
      <c r="K230" s="35"/>
      <c r="L230" s="35"/>
      <c r="M230" s="35"/>
    </row>
    <row r="231" spans="1:13" x14ac:dyDescent="0.3">
      <c r="A231" s="35"/>
      <c r="B231" s="35"/>
      <c r="C231" s="36">
        <v>46087.384560185186</v>
      </c>
      <c r="D231" s="35" t="s">
        <v>362</v>
      </c>
      <c r="E231" s="35" t="s">
        <v>95</v>
      </c>
      <c r="F231" s="35">
        <v>0</v>
      </c>
      <c r="G231" s="35" t="s">
        <v>580</v>
      </c>
      <c r="H231" s="35"/>
      <c r="I231" s="35"/>
      <c r="J231" s="35"/>
      <c r="K231" s="35"/>
      <c r="L231" s="35"/>
      <c r="M231" s="35"/>
    </row>
    <row r="232" spans="1:13" x14ac:dyDescent="0.3">
      <c r="A232" s="35"/>
      <c r="B232" s="35"/>
      <c r="C232" s="36">
        <v>46087.384687500002</v>
      </c>
      <c r="D232" s="35" t="s">
        <v>362</v>
      </c>
      <c r="E232" s="35" t="s">
        <v>95</v>
      </c>
      <c r="F232" s="35">
        <v>0</v>
      </c>
      <c r="G232" s="35" t="s">
        <v>581</v>
      </c>
      <c r="H232" s="35"/>
      <c r="I232" s="35"/>
      <c r="J232" s="35"/>
      <c r="K232" s="35"/>
      <c r="L232" s="35"/>
      <c r="M232" s="35"/>
    </row>
    <row r="233" spans="1:13" x14ac:dyDescent="0.3">
      <c r="A233" s="35"/>
      <c r="B233" s="35"/>
      <c r="C233" s="36">
        <v>46087.38486111111</v>
      </c>
      <c r="D233" s="35" t="s">
        <v>362</v>
      </c>
      <c r="E233" s="35" t="s">
        <v>95</v>
      </c>
      <c r="F233" s="35">
        <v>0</v>
      </c>
      <c r="G233" s="35" t="s">
        <v>582</v>
      </c>
      <c r="H233" s="35"/>
      <c r="I233" s="35"/>
      <c r="J233" s="35"/>
      <c r="K233" s="35"/>
      <c r="L233" s="35"/>
      <c r="M233" s="35"/>
    </row>
    <row r="234" spans="1:13" x14ac:dyDescent="0.3">
      <c r="A234" s="35"/>
      <c r="B234" s="35"/>
      <c r="C234" s="36">
        <v>46087.384930555556</v>
      </c>
      <c r="D234" s="35" t="s">
        <v>362</v>
      </c>
      <c r="E234" s="35" t="s">
        <v>95</v>
      </c>
      <c r="F234" s="35">
        <v>0</v>
      </c>
      <c r="G234" s="35" t="s">
        <v>377</v>
      </c>
      <c r="H234" s="35"/>
      <c r="I234" s="35"/>
      <c r="J234" s="35"/>
      <c r="K234" s="35"/>
      <c r="L234" s="35"/>
      <c r="M234" s="35"/>
    </row>
    <row r="235" spans="1:13" x14ac:dyDescent="0.3">
      <c r="A235" s="35"/>
      <c r="B235" s="35"/>
      <c r="C235" s="36">
        <v>46087.38517361111</v>
      </c>
      <c r="D235" s="35" t="s">
        <v>362</v>
      </c>
      <c r="E235" s="35" t="s">
        <v>95</v>
      </c>
      <c r="F235" s="35">
        <v>0</v>
      </c>
      <c r="G235" s="35" t="s">
        <v>583</v>
      </c>
      <c r="H235" s="35"/>
      <c r="I235" s="35"/>
      <c r="J235" s="35"/>
      <c r="K235" s="35"/>
      <c r="L235" s="35"/>
      <c r="M235" s="35"/>
    </row>
    <row r="236" spans="1:13" x14ac:dyDescent="0.3">
      <c r="A236" s="35"/>
      <c r="B236" s="35"/>
      <c r="C236" s="36">
        <v>46087.385335648149</v>
      </c>
      <c r="D236" s="35" t="s">
        <v>362</v>
      </c>
      <c r="E236" s="35" t="s">
        <v>95</v>
      </c>
      <c r="F236" s="35">
        <v>0</v>
      </c>
      <c r="G236" s="35" t="s">
        <v>584</v>
      </c>
      <c r="H236" s="35"/>
      <c r="I236" s="35"/>
      <c r="J236" s="35"/>
      <c r="K236" s="35"/>
      <c r="L236" s="35"/>
      <c r="M236" s="35"/>
    </row>
    <row r="237" spans="1:13" x14ac:dyDescent="0.3">
      <c r="A237" s="35"/>
      <c r="B237" s="35"/>
      <c r="C237" s="36">
        <v>46087.385613425926</v>
      </c>
      <c r="D237" s="35" t="s">
        <v>362</v>
      </c>
      <c r="E237" s="35" t="s">
        <v>95</v>
      </c>
      <c r="F237" s="35">
        <v>0</v>
      </c>
      <c r="G237" s="35" t="s">
        <v>585</v>
      </c>
      <c r="H237" s="35"/>
      <c r="I237" s="35"/>
      <c r="J237" s="35"/>
      <c r="K237" s="35"/>
      <c r="L237" s="35"/>
      <c r="M237" s="35"/>
    </row>
    <row r="238" spans="1:13" x14ac:dyDescent="0.3">
      <c r="A238" s="35"/>
      <c r="B238" s="35"/>
      <c r="C238" s="36">
        <v>46087.385740740741</v>
      </c>
      <c r="D238" s="35" t="s">
        <v>362</v>
      </c>
      <c r="E238" s="35" t="s">
        <v>95</v>
      </c>
      <c r="F238" s="35">
        <v>0</v>
      </c>
      <c r="G238" s="35" t="s">
        <v>586</v>
      </c>
      <c r="H238" s="35"/>
      <c r="I238" s="35"/>
      <c r="J238" s="35"/>
      <c r="K238" s="35"/>
      <c r="L238" s="35"/>
      <c r="M238" s="35"/>
    </row>
    <row r="239" spans="1:13" x14ac:dyDescent="0.3">
      <c r="A239" s="35"/>
      <c r="B239" s="35"/>
      <c r="C239" s="36">
        <v>46087.385810185187</v>
      </c>
      <c r="D239" s="35" t="s">
        <v>362</v>
      </c>
      <c r="E239" s="35" t="s">
        <v>95</v>
      </c>
      <c r="F239" s="35">
        <v>0</v>
      </c>
      <c r="G239" s="35" t="s">
        <v>587</v>
      </c>
      <c r="H239" s="35"/>
      <c r="I239" s="35"/>
      <c r="J239" s="35"/>
      <c r="K239" s="35"/>
      <c r="L239" s="35"/>
      <c r="M239" s="35"/>
    </row>
    <row r="240" spans="1:13" x14ac:dyDescent="0.3">
      <c r="A240" s="35"/>
      <c r="B240" s="35"/>
      <c r="C240" s="36">
        <v>46087.385821759257</v>
      </c>
      <c r="D240" s="35" t="s">
        <v>362</v>
      </c>
      <c r="E240" s="35" t="s">
        <v>95</v>
      </c>
      <c r="F240" s="35">
        <v>0</v>
      </c>
      <c r="G240" s="35" t="s">
        <v>588</v>
      </c>
      <c r="H240" s="35"/>
      <c r="I240" s="35"/>
      <c r="J240" s="35"/>
      <c r="K240" s="35"/>
      <c r="L240" s="35"/>
      <c r="M240" s="35"/>
    </row>
    <row r="241" spans="1:13" x14ac:dyDescent="0.3">
      <c r="A241" s="35"/>
      <c r="B241" s="35"/>
      <c r="C241" s="36">
        <v>46087.386030092595</v>
      </c>
      <c r="D241" s="35" t="s">
        <v>362</v>
      </c>
      <c r="E241" s="35" t="s">
        <v>95</v>
      </c>
      <c r="F241" s="35">
        <v>0</v>
      </c>
      <c r="G241" s="35" t="s">
        <v>589</v>
      </c>
      <c r="H241" s="35"/>
      <c r="I241" s="35"/>
      <c r="J241" s="35"/>
      <c r="K241" s="35"/>
      <c r="L241" s="35"/>
      <c r="M241" s="35"/>
    </row>
    <row r="242" spans="1:13" x14ac:dyDescent="0.3">
      <c r="A242" s="35"/>
      <c r="B242" s="35"/>
      <c r="C242" s="36">
        <v>46087.386041666665</v>
      </c>
      <c r="D242" s="35" t="s">
        <v>362</v>
      </c>
      <c r="E242" s="35" t="s">
        <v>95</v>
      </c>
      <c r="F242" s="35">
        <v>0</v>
      </c>
      <c r="G242" s="35" t="s">
        <v>590</v>
      </c>
      <c r="H242" s="35"/>
      <c r="I242" s="35"/>
      <c r="J242" s="35"/>
      <c r="K242" s="35"/>
      <c r="L242" s="35"/>
      <c r="M242" s="35"/>
    </row>
    <row r="243" spans="1:13" x14ac:dyDescent="0.3">
      <c r="A243" s="35"/>
      <c r="B243" s="35"/>
      <c r="C243" s="36">
        <v>46087.386273148149</v>
      </c>
      <c r="D243" s="35" t="s">
        <v>362</v>
      </c>
      <c r="E243" s="35" t="s">
        <v>95</v>
      </c>
      <c r="F243" s="35">
        <v>0</v>
      </c>
      <c r="G243" s="35" t="s">
        <v>591</v>
      </c>
      <c r="H243" s="35"/>
      <c r="I243" s="35"/>
      <c r="J243" s="35"/>
      <c r="K243" s="35"/>
      <c r="L243" s="35"/>
      <c r="M243" s="35"/>
    </row>
    <row r="244" spans="1:13" x14ac:dyDescent="0.3">
      <c r="A244" s="35"/>
      <c r="B244" s="35"/>
      <c r="C244" s="36">
        <v>46087.386319444442</v>
      </c>
      <c r="D244" s="35" t="s">
        <v>362</v>
      </c>
      <c r="E244" s="35" t="s">
        <v>95</v>
      </c>
      <c r="F244" s="35">
        <v>0</v>
      </c>
      <c r="G244" s="35" t="s">
        <v>592</v>
      </c>
      <c r="H244" s="35"/>
      <c r="I244" s="35"/>
      <c r="J244" s="35"/>
      <c r="K244" s="35"/>
      <c r="L244" s="35"/>
      <c r="M244" s="35"/>
    </row>
    <row r="245" spans="1:13" x14ac:dyDescent="0.3">
      <c r="A245" s="35"/>
      <c r="B245" s="35"/>
      <c r="C245" s="36">
        <v>46087.386400462965</v>
      </c>
      <c r="D245" s="35" t="s">
        <v>362</v>
      </c>
      <c r="E245" s="35" t="s">
        <v>95</v>
      </c>
      <c r="F245" s="35">
        <v>0</v>
      </c>
      <c r="G245" s="35" t="s">
        <v>593</v>
      </c>
      <c r="H245" s="35"/>
      <c r="I245" s="35"/>
      <c r="J245" s="35"/>
      <c r="K245" s="35"/>
      <c r="L245" s="35"/>
      <c r="M245" s="35"/>
    </row>
    <row r="246" spans="1:13" x14ac:dyDescent="0.3">
      <c r="A246" s="35"/>
      <c r="B246" s="35"/>
      <c r="C246" s="36">
        <v>46087.386435185188</v>
      </c>
      <c r="D246" s="35" t="s">
        <v>362</v>
      </c>
      <c r="E246" s="35" t="s">
        <v>95</v>
      </c>
      <c r="F246" s="35">
        <v>0</v>
      </c>
      <c r="G246" s="35" t="s">
        <v>594</v>
      </c>
      <c r="H246" s="35"/>
      <c r="I246" s="35"/>
      <c r="J246" s="35"/>
      <c r="K246" s="35"/>
      <c r="L246" s="35"/>
      <c r="M246" s="35"/>
    </row>
    <row r="247" spans="1:13" x14ac:dyDescent="0.3">
      <c r="A247" s="35"/>
      <c r="B247" s="35"/>
      <c r="C247" s="36">
        <v>46087.386481481481</v>
      </c>
      <c r="D247" s="35" t="s">
        <v>362</v>
      </c>
      <c r="E247" s="35" t="s">
        <v>95</v>
      </c>
      <c r="F247" s="35">
        <v>0</v>
      </c>
      <c r="G247" s="35" t="s">
        <v>595</v>
      </c>
      <c r="H247" s="35"/>
      <c r="I247" s="35"/>
      <c r="J247" s="35"/>
      <c r="K247" s="35"/>
      <c r="L247" s="35"/>
      <c r="M247" s="35"/>
    </row>
    <row r="248" spans="1:13" x14ac:dyDescent="0.3">
      <c r="A248" s="35"/>
      <c r="B248" s="35"/>
      <c r="C248" s="36">
        <v>46087.386631944442</v>
      </c>
      <c r="D248" s="35" t="s">
        <v>362</v>
      </c>
      <c r="E248" s="35" t="s">
        <v>95</v>
      </c>
      <c r="F248" s="35">
        <v>0</v>
      </c>
      <c r="G248" s="35" t="s">
        <v>596</v>
      </c>
      <c r="H248" s="35"/>
      <c r="I248" s="35"/>
      <c r="J248" s="35"/>
      <c r="K248" s="35"/>
      <c r="L248" s="35"/>
      <c r="M248" s="35"/>
    </row>
    <row r="249" spans="1:13" x14ac:dyDescent="0.3">
      <c r="A249" s="35"/>
      <c r="B249" s="35"/>
      <c r="C249" s="36">
        <v>46087.386701388888</v>
      </c>
      <c r="D249" s="35" t="s">
        <v>362</v>
      </c>
      <c r="E249" s="35" t="s">
        <v>95</v>
      </c>
      <c r="F249" s="35">
        <v>0</v>
      </c>
      <c r="G249" s="35" t="s">
        <v>597</v>
      </c>
      <c r="H249" s="35"/>
      <c r="I249" s="35"/>
      <c r="J249" s="35"/>
      <c r="K249" s="35"/>
      <c r="L249" s="35"/>
      <c r="M249" s="35"/>
    </row>
    <row r="250" spans="1:13" x14ac:dyDescent="0.3">
      <c r="A250" s="35"/>
      <c r="B250" s="35"/>
      <c r="C250" s="36">
        <v>46087.386967592596</v>
      </c>
      <c r="D250" s="35" t="s">
        <v>362</v>
      </c>
      <c r="E250" s="35" t="s">
        <v>95</v>
      </c>
      <c r="F250" s="35">
        <v>0</v>
      </c>
      <c r="G250" s="35" t="s">
        <v>598</v>
      </c>
      <c r="H250" s="35"/>
      <c r="I250" s="35"/>
      <c r="J250" s="35"/>
      <c r="K250" s="35"/>
      <c r="L250" s="35"/>
      <c r="M250" s="35"/>
    </row>
    <row r="251" spans="1:13" x14ac:dyDescent="0.3">
      <c r="A251" s="35"/>
      <c r="B251" s="35"/>
      <c r="C251" s="36">
        <v>46087.38758101852</v>
      </c>
      <c r="D251" s="35" t="s">
        <v>362</v>
      </c>
      <c r="E251" s="35" t="s">
        <v>95</v>
      </c>
      <c r="F251" s="35">
        <v>0</v>
      </c>
      <c r="G251" s="35" t="s">
        <v>599</v>
      </c>
      <c r="H251" s="35"/>
      <c r="I251" s="35"/>
      <c r="J251" s="35"/>
      <c r="K251" s="35"/>
      <c r="L251" s="35"/>
      <c r="M251" s="35"/>
    </row>
    <row r="252" spans="1:13" x14ac:dyDescent="0.3">
      <c r="A252" s="35"/>
      <c r="B252" s="35"/>
      <c r="C252" s="36">
        <v>46087.387800925928</v>
      </c>
      <c r="D252" s="35" t="s">
        <v>362</v>
      </c>
      <c r="E252" s="35" t="s">
        <v>95</v>
      </c>
      <c r="F252" s="35">
        <v>0</v>
      </c>
      <c r="G252" s="35" t="s">
        <v>600</v>
      </c>
      <c r="H252" s="35"/>
      <c r="I252" s="35"/>
      <c r="J252" s="35"/>
      <c r="K252" s="35"/>
      <c r="L252" s="35"/>
      <c r="M252" s="35"/>
    </row>
    <row r="253" spans="1:13" x14ac:dyDescent="0.3">
      <c r="A253" s="35"/>
      <c r="B253" s="35"/>
      <c r="C253" s="36">
        <v>46087.38784722222</v>
      </c>
      <c r="D253" s="35" t="s">
        <v>362</v>
      </c>
      <c r="E253" s="35" t="s">
        <v>95</v>
      </c>
      <c r="F253" s="35">
        <v>0</v>
      </c>
      <c r="G253" s="35" t="s">
        <v>601</v>
      </c>
      <c r="H253" s="35"/>
      <c r="I253" s="35"/>
      <c r="J253" s="35"/>
      <c r="K253" s="35"/>
      <c r="L253" s="35"/>
      <c r="M253" s="35"/>
    </row>
    <row r="254" spans="1:13" x14ac:dyDescent="0.3">
      <c r="A254" s="35"/>
      <c r="B254" s="35"/>
      <c r="C254" s="36">
        <v>46087.38790509259</v>
      </c>
      <c r="D254" s="35" t="s">
        <v>350</v>
      </c>
      <c r="E254" s="35" t="s">
        <v>95</v>
      </c>
      <c r="F254" s="35">
        <v>0</v>
      </c>
      <c r="G254" s="35" t="s">
        <v>602</v>
      </c>
      <c r="H254" s="35"/>
      <c r="I254" s="35"/>
      <c r="J254" s="35"/>
      <c r="K254" s="35"/>
      <c r="L254" s="35"/>
      <c r="M254" s="35"/>
    </row>
    <row r="255" spans="1:13" x14ac:dyDescent="0.3">
      <c r="A255" s="35"/>
      <c r="B255" s="35"/>
      <c r="C255" s="36">
        <v>46087.388032407405</v>
      </c>
      <c r="D255" s="35" t="s">
        <v>362</v>
      </c>
      <c r="E255" s="35" t="s">
        <v>95</v>
      </c>
      <c r="F255" s="35">
        <v>0</v>
      </c>
      <c r="G255" s="35" t="s">
        <v>603</v>
      </c>
      <c r="H255" s="35"/>
      <c r="I255" s="35"/>
      <c r="J255" s="35"/>
      <c r="K255" s="35"/>
      <c r="L255" s="35"/>
      <c r="M255" s="35"/>
    </row>
    <row r="256" spans="1:13" x14ac:dyDescent="0.3">
      <c r="A256" s="35"/>
      <c r="B256" s="35"/>
      <c r="C256" s="36">
        <v>46087.388078703705</v>
      </c>
      <c r="D256" s="35" t="s">
        <v>362</v>
      </c>
      <c r="E256" s="35" t="s">
        <v>95</v>
      </c>
      <c r="F256" s="35">
        <v>0</v>
      </c>
      <c r="G256" s="35" t="s">
        <v>604</v>
      </c>
      <c r="H256" s="35"/>
      <c r="I256" s="35"/>
      <c r="J256" s="35"/>
      <c r="K256" s="35"/>
      <c r="L256" s="35"/>
      <c r="M256" s="35"/>
    </row>
    <row r="257" spans="1:13" x14ac:dyDescent="0.3">
      <c r="A257" s="35"/>
      <c r="B257" s="35"/>
      <c r="C257" s="36">
        <v>46087.388194444444</v>
      </c>
      <c r="D257" s="35" t="s">
        <v>362</v>
      </c>
      <c r="E257" s="35" t="s">
        <v>95</v>
      </c>
      <c r="F257" s="35">
        <v>0</v>
      </c>
      <c r="G257" s="35" t="s">
        <v>605</v>
      </c>
      <c r="H257" s="35"/>
      <c r="I257" s="35"/>
      <c r="J257" s="35"/>
      <c r="K257" s="35"/>
      <c r="L257" s="35"/>
      <c r="M257" s="35"/>
    </row>
    <row r="258" spans="1:13" x14ac:dyDescent="0.3">
      <c r="A258" s="35"/>
      <c r="B258" s="35"/>
      <c r="C258" s="36">
        <v>46087.388240740744</v>
      </c>
      <c r="D258" s="35" t="s">
        <v>362</v>
      </c>
      <c r="E258" s="35" t="s">
        <v>95</v>
      </c>
      <c r="F258" s="35">
        <v>0</v>
      </c>
      <c r="G258" s="35" t="s">
        <v>606</v>
      </c>
      <c r="H258" s="35"/>
      <c r="I258" s="35"/>
      <c r="J258" s="35"/>
      <c r="K258" s="35"/>
      <c r="L258" s="35"/>
      <c r="M258" s="35"/>
    </row>
    <row r="259" spans="1:13" x14ac:dyDescent="0.3">
      <c r="A259" s="35"/>
      <c r="B259" s="35"/>
      <c r="C259" s="36">
        <v>46087.38863425926</v>
      </c>
      <c r="D259" s="35" t="s">
        <v>362</v>
      </c>
      <c r="E259" s="35" t="s">
        <v>95</v>
      </c>
      <c r="F259" s="35">
        <v>0</v>
      </c>
      <c r="G259" s="35" t="s">
        <v>607</v>
      </c>
      <c r="H259" s="35"/>
      <c r="I259" s="35"/>
      <c r="J259" s="35"/>
      <c r="K259" s="35"/>
      <c r="L259" s="35"/>
      <c r="M259" s="35"/>
    </row>
    <row r="260" spans="1:13" x14ac:dyDescent="0.3">
      <c r="A260" s="35"/>
      <c r="B260" s="35"/>
      <c r="C260" s="36">
        <v>46087.388680555552</v>
      </c>
      <c r="D260" s="35" t="s">
        <v>362</v>
      </c>
      <c r="E260" s="35" t="s">
        <v>95</v>
      </c>
      <c r="F260" s="35">
        <v>0</v>
      </c>
      <c r="G260" s="35" t="s">
        <v>608</v>
      </c>
      <c r="H260" s="35"/>
      <c r="I260" s="35"/>
      <c r="J260" s="35"/>
      <c r="K260" s="35"/>
      <c r="L260" s="35"/>
      <c r="M260" s="35"/>
    </row>
    <row r="261" spans="1:13" x14ac:dyDescent="0.3">
      <c r="A261" s="35"/>
      <c r="B261" s="35"/>
      <c r="C261" s="36">
        <v>46087.388784722221</v>
      </c>
      <c r="D261" s="35" t="s">
        <v>362</v>
      </c>
      <c r="E261" s="35" t="s">
        <v>95</v>
      </c>
      <c r="F261" s="35">
        <v>0</v>
      </c>
      <c r="G261" s="35" t="s">
        <v>609</v>
      </c>
      <c r="H261" s="35"/>
      <c r="I261" s="35"/>
      <c r="J261" s="35"/>
      <c r="K261" s="35"/>
      <c r="L261" s="35"/>
      <c r="M261" s="35"/>
    </row>
    <row r="262" spans="1:13" x14ac:dyDescent="0.3">
      <c r="A262" s="35"/>
      <c r="B262" s="35"/>
      <c r="C262" s="36">
        <v>46087.389027777775</v>
      </c>
      <c r="D262" s="35" t="s">
        <v>362</v>
      </c>
      <c r="E262" s="35" t="s">
        <v>95</v>
      </c>
      <c r="F262" s="35">
        <v>0</v>
      </c>
      <c r="G262" s="35" t="s">
        <v>610</v>
      </c>
      <c r="H262" s="35"/>
      <c r="I262" s="35"/>
      <c r="J262" s="35"/>
      <c r="K262" s="35"/>
      <c r="L262" s="35"/>
      <c r="M262" s="35"/>
    </row>
    <row r="263" spans="1:13" x14ac:dyDescent="0.3">
      <c r="A263" s="35"/>
      <c r="B263" s="35"/>
      <c r="C263" s="36">
        <v>46087.389120370368</v>
      </c>
      <c r="D263" s="35" t="s">
        <v>362</v>
      </c>
      <c r="E263" s="35" t="s">
        <v>95</v>
      </c>
      <c r="F263" s="35">
        <v>0</v>
      </c>
      <c r="G263" s="35" t="s">
        <v>611</v>
      </c>
      <c r="H263" s="35"/>
      <c r="I263" s="35"/>
      <c r="J263" s="35"/>
      <c r="K263" s="35"/>
      <c r="L263" s="35"/>
      <c r="M263" s="35"/>
    </row>
    <row r="264" spans="1:13" x14ac:dyDescent="0.3">
      <c r="A264" s="35"/>
      <c r="B264" s="35"/>
      <c r="C264" s="36">
        <v>46087.389201388891</v>
      </c>
      <c r="D264" s="35" t="s">
        <v>362</v>
      </c>
      <c r="E264" s="35" t="s">
        <v>95</v>
      </c>
      <c r="F264" s="35">
        <v>0</v>
      </c>
      <c r="G264" s="35" t="s">
        <v>612</v>
      </c>
      <c r="H264" s="35"/>
      <c r="I264" s="35"/>
      <c r="J264" s="35"/>
      <c r="K264" s="35"/>
      <c r="L264" s="35"/>
      <c r="M264" s="35"/>
    </row>
    <row r="265" spans="1:13" x14ac:dyDescent="0.3">
      <c r="A265" s="35"/>
      <c r="B265" s="35"/>
      <c r="C265" s="36">
        <v>46087.38925925926</v>
      </c>
      <c r="D265" s="35" t="s">
        <v>362</v>
      </c>
      <c r="E265" s="35" t="s">
        <v>95</v>
      </c>
      <c r="F265" s="35">
        <v>0</v>
      </c>
      <c r="G265" s="35" t="s">
        <v>613</v>
      </c>
      <c r="H265" s="35"/>
      <c r="I265" s="35"/>
      <c r="J265" s="35"/>
      <c r="K265" s="35"/>
      <c r="L265" s="35"/>
      <c r="M265" s="35"/>
    </row>
    <row r="266" spans="1:13" x14ac:dyDescent="0.3">
      <c r="A266" s="35"/>
      <c r="B266" s="35"/>
      <c r="C266" s="36">
        <v>46087.389409722222</v>
      </c>
      <c r="D266" s="35" t="s">
        <v>362</v>
      </c>
      <c r="E266" s="35" t="s">
        <v>95</v>
      </c>
      <c r="F266" s="35">
        <v>0</v>
      </c>
      <c r="G266" s="35" t="s">
        <v>614</v>
      </c>
      <c r="H266" s="35"/>
      <c r="I266" s="35"/>
      <c r="J266" s="35"/>
      <c r="K266" s="35"/>
      <c r="L266" s="35"/>
      <c r="M266" s="35"/>
    </row>
    <row r="267" spans="1:13" x14ac:dyDescent="0.3">
      <c r="A267" s="35"/>
      <c r="B267" s="35"/>
      <c r="C267" s="36">
        <v>46087.389664351853</v>
      </c>
      <c r="D267" s="35" t="s">
        <v>362</v>
      </c>
      <c r="E267" s="35" t="s">
        <v>95</v>
      </c>
      <c r="F267" s="35">
        <v>0</v>
      </c>
      <c r="G267" s="35" t="s">
        <v>615</v>
      </c>
      <c r="H267" s="35"/>
      <c r="I267" s="35"/>
      <c r="J267" s="35"/>
      <c r="K267" s="35"/>
      <c r="L267" s="35"/>
      <c r="M267" s="35"/>
    </row>
    <row r="268" spans="1:13" x14ac:dyDescent="0.3">
      <c r="A268" s="35"/>
      <c r="B268" s="35"/>
      <c r="C268" s="36">
        <v>46087.389756944445</v>
      </c>
      <c r="D268" s="35" t="s">
        <v>362</v>
      </c>
      <c r="E268" s="35" t="s">
        <v>95</v>
      </c>
      <c r="F268" s="35">
        <v>0</v>
      </c>
      <c r="G268" s="35" t="s">
        <v>616</v>
      </c>
      <c r="H268" s="35"/>
      <c r="I268" s="35"/>
      <c r="J268" s="35"/>
      <c r="K268" s="35"/>
      <c r="L268" s="35"/>
      <c r="M268" s="35"/>
    </row>
    <row r="269" spans="1:13" x14ac:dyDescent="0.3">
      <c r="A269" s="35"/>
      <c r="B269" s="35"/>
      <c r="C269" s="36">
        <v>46087.39</v>
      </c>
      <c r="D269" s="35" t="s">
        <v>350</v>
      </c>
      <c r="E269" s="35" t="s">
        <v>95</v>
      </c>
      <c r="F269" s="35">
        <v>0</v>
      </c>
      <c r="G269" s="35" t="s">
        <v>617</v>
      </c>
      <c r="H269" s="35"/>
      <c r="I269" s="35"/>
      <c r="J269" s="35"/>
      <c r="K269" s="35"/>
      <c r="L269" s="35"/>
      <c r="M269" s="35"/>
    </row>
    <row r="270" spans="1:13" x14ac:dyDescent="0.3">
      <c r="A270" s="35"/>
      <c r="B270" s="35"/>
      <c r="C270" s="36">
        <v>46087.390266203707</v>
      </c>
      <c r="D270" s="35" t="s">
        <v>362</v>
      </c>
      <c r="E270" s="35" t="s">
        <v>95</v>
      </c>
      <c r="F270" s="35">
        <v>0</v>
      </c>
      <c r="G270" s="35" t="s">
        <v>618</v>
      </c>
      <c r="H270" s="35"/>
      <c r="I270" s="35"/>
      <c r="J270" s="35"/>
      <c r="K270" s="35"/>
      <c r="L270" s="35"/>
      <c r="M270" s="35"/>
    </row>
    <row r="271" spans="1:13" x14ac:dyDescent="0.3">
      <c r="A271" s="35"/>
      <c r="B271" s="35"/>
      <c r="C271" s="36">
        <v>46087.390324074076</v>
      </c>
      <c r="D271" s="35" t="s">
        <v>362</v>
      </c>
      <c r="E271" s="35" t="s">
        <v>95</v>
      </c>
      <c r="F271" s="35">
        <v>0</v>
      </c>
      <c r="G271" s="35" t="s">
        <v>619</v>
      </c>
      <c r="H271" s="35"/>
      <c r="I271" s="35"/>
      <c r="J271" s="35"/>
      <c r="K271" s="35"/>
      <c r="L271" s="35"/>
      <c r="M271" s="35"/>
    </row>
    <row r="272" spans="1:13" x14ac:dyDescent="0.3">
      <c r="A272" s="35"/>
      <c r="B272" s="35"/>
      <c r="C272" s="36">
        <v>46087.390497685185</v>
      </c>
      <c r="D272" s="35" t="s">
        <v>362</v>
      </c>
      <c r="E272" s="35" t="s">
        <v>95</v>
      </c>
      <c r="F272" s="35">
        <v>0</v>
      </c>
      <c r="G272" s="35" t="s">
        <v>620</v>
      </c>
      <c r="H272" s="35"/>
      <c r="I272" s="35"/>
      <c r="J272" s="35"/>
      <c r="K272" s="35"/>
      <c r="L272" s="35"/>
      <c r="M272" s="35"/>
    </row>
    <row r="273" spans="1:13" x14ac:dyDescent="0.3">
      <c r="A273" s="35"/>
      <c r="B273" s="35"/>
      <c r="C273" s="36">
        <v>46087.390555555554</v>
      </c>
      <c r="D273" s="35" t="s">
        <v>362</v>
      </c>
      <c r="E273" s="35" t="s">
        <v>95</v>
      </c>
      <c r="F273" s="35">
        <v>0</v>
      </c>
      <c r="G273" s="35" t="s">
        <v>621</v>
      </c>
      <c r="H273" s="35"/>
      <c r="I273" s="35"/>
      <c r="J273" s="35"/>
      <c r="K273" s="35"/>
      <c r="L273" s="35"/>
      <c r="M273" s="35"/>
    </row>
    <row r="274" spans="1:13" x14ac:dyDescent="0.3">
      <c r="A274" s="35"/>
      <c r="B274" s="35"/>
      <c r="C274" s="36">
        <v>46087.390925925924</v>
      </c>
      <c r="D274" s="35" t="s">
        <v>350</v>
      </c>
      <c r="E274" s="35" t="s">
        <v>95</v>
      </c>
      <c r="F274" s="35">
        <v>0</v>
      </c>
      <c r="G274" s="35" t="s">
        <v>622</v>
      </c>
      <c r="H274" s="35"/>
      <c r="I274" s="35"/>
      <c r="J274" s="35"/>
      <c r="K274" s="35"/>
      <c r="L274" s="35"/>
      <c r="M274" s="35"/>
    </row>
    <row r="275" spans="1:13" x14ac:dyDescent="0.3">
      <c r="A275" s="35"/>
      <c r="B275" s="35"/>
      <c r="C275" s="36">
        <v>46087.39099537037</v>
      </c>
      <c r="D275" s="35" t="s">
        <v>362</v>
      </c>
      <c r="E275" s="35" t="s">
        <v>95</v>
      </c>
      <c r="F275" s="35">
        <v>0</v>
      </c>
      <c r="G275" s="35" t="s">
        <v>623</v>
      </c>
      <c r="H275" s="35"/>
      <c r="I275" s="35"/>
      <c r="J275" s="35"/>
      <c r="K275" s="35"/>
      <c r="L275" s="35"/>
      <c r="M275" s="35"/>
    </row>
    <row r="276" spans="1:13" x14ac:dyDescent="0.3">
      <c r="A276" s="35"/>
      <c r="B276" s="35"/>
      <c r="C276" s="36">
        <v>46087.391018518516</v>
      </c>
      <c r="D276" s="35" t="s">
        <v>362</v>
      </c>
      <c r="E276" s="35" t="s">
        <v>95</v>
      </c>
      <c r="F276" s="35">
        <v>0</v>
      </c>
      <c r="G276" s="35" t="s">
        <v>624</v>
      </c>
      <c r="H276" s="35"/>
      <c r="I276" s="35"/>
      <c r="J276" s="35"/>
      <c r="K276" s="35"/>
      <c r="L276" s="35"/>
      <c r="M276" s="35"/>
    </row>
    <row r="277" spans="1:13" x14ac:dyDescent="0.3">
      <c r="A277" s="35"/>
      <c r="B277" s="35"/>
      <c r="C277" s="36">
        <v>46087.391087962962</v>
      </c>
      <c r="D277" s="35" t="s">
        <v>362</v>
      </c>
      <c r="E277" s="35" t="s">
        <v>95</v>
      </c>
      <c r="F277" s="35">
        <v>0</v>
      </c>
      <c r="G277" s="35" t="s">
        <v>625</v>
      </c>
      <c r="H277" s="35"/>
      <c r="I277" s="35"/>
      <c r="J277" s="35"/>
      <c r="K277" s="35"/>
      <c r="L277" s="35"/>
      <c r="M277" s="35"/>
    </row>
    <row r="278" spans="1:13" x14ac:dyDescent="0.3">
      <c r="A278" s="35"/>
      <c r="B278" s="35"/>
      <c r="C278" s="36">
        <v>46087.391122685185</v>
      </c>
      <c r="D278" s="35" t="s">
        <v>362</v>
      </c>
      <c r="E278" s="35" t="s">
        <v>95</v>
      </c>
      <c r="F278" s="35">
        <v>0</v>
      </c>
      <c r="G278" s="35" t="s">
        <v>626</v>
      </c>
      <c r="H278" s="35"/>
      <c r="I278" s="35"/>
      <c r="J278" s="35"/>
      <c r="K278" s="35"/>
      <c r="L278" s="35"/>
      <c r="M278" s="35"/>
    </row>
    <row r="279" spans="1:13" x14ac:dyDescent="0.3">
      <c r="A279" s="35"/>
      <c r="B279" s="35"/>
      <c r="C279" s="36">
        <v>46087.391446759262</v>
      </c>
      <c r="D279" s="35" t="s">
        <v>362</v>
      </c>
      <c r="E279" s="35" t="s">
        <v>95</v>
      </c>
      <c r="F279" s="35">
        <v>0</v>
      </c>
      <c r="G279" s="35" t="s">
        <v>627</v>
      </c>
      <c r="H279" s="35"/>
      <c r="I279" s="35"/>
      <c r="J279" s="35"/>
      <c r="K279" s="35"/>
      <c r="L279" s="35"/>
      <c r="M279" s="35"/>
    </row>
    <row r="280" spans="1:13" x14ac:dyDescent="0.3">
      <c r="A280" s="35"/>
      <c r="B280" s="35"/>
      <c r="C280" s="36">
        <v>46087.391527777778</v>
      </c>
      <c r="D280" s="35" t="s">
        <v>362</v>
      </c>
      <c r="E280" s="35" t="s">
        <v>95</v>
      </c>
      <c r="F280" s="35">
        <v>0</v>
      </c>
      <c r="G280" s="35" t="s">
        <v>628</v>
      </c>
      <c r="H280" s="35"/>
      <c r="I280" s="35"/>
      <c r="J280" s="35"/>
      <c r="K280" s="35"/>
      <c r="L280" s="35"/>
      <c r="M280" s="35"/>
    </row>
    <row r="281" spans="1:13" x14ac:dyDescent="0.3">
      <c r="A281" s="35"/>
      <c r="B281" s="35"/>
      <c r="C281" s="36">
        <v>46087.391724537039</v>
      </c>
      <c r="D281" s="35" t="s">
        <v>362</v>
      </c>
      <c r="E281" s="35" t="s">
        <v>95</v>
      </c>
      <c r="F281" s="35">
        <v>0</v>
      </c>
      <c r="G281" s="35" t="s">
        <v>629</v>
      </c>
      <c r="H281" s="35"/>
      <c r="I281" s="35"/>
      <c r="J281" s="35"/>
      <c r="K281" s="35"/>
      <c r="L281" s="35"/>
      <c r="M281" s="35"/>
    </row>
    <row r="282" spans="1:13" x14ac:dyDescent="0.3">
      <c r="A282" s="35"/>
      <c r="B282" s="35"/>
      <c r="C282" s="36">
        <v>46087.391770833332</v>
      </c>
      <c r="D282" s="35" t="s">
        <v>362</v>
      </c>
      <c r="E282" s="35" t="s">
        <v>95</v>
      </c>
      <c r="F282" s="35">
        <v>0</v>
      </c>
      <c r="G282" s="35" t="s">
        <v>630</v>
      </c>
      <c r="H282" s="35"/>
      <c r="I282" s="35"/>
      <c r="J282" s="35"/>
      <c r="K282" s="35"/>
      <c r="L282" s="35"/>
      <c r="M282" s="35"/>
    </row>
    <row r="283" spans="1:13" x14ac:dyDescent="0.3">
      <c r="A283" s="35"/>
      <c r="B283" s="35"/>
      <c r="C283" s="36">
        <v>46087.391863425924</v>
      </c>
      <c r="D283" s="35" t="s">
        <v>362</v>
      </c>
      <c r="E283" s="35" t="s">
        <v>95</v>
      </c>
      <c r="F283" s="35">
        <v>0</v>
      </c>
      <c r="G283" s="35" t="s">
        <v>631</v>
      </c>
      <c r="H283" s="35"/>
      <c r="I283" s="35"/>
      <c r="J283" s="35"/>
      <c r="K283" s="35"/>
      <c r="L283" s="35"/>
      <c r="M283" s="35"/>
    </row>
    <row r="284" spans="1:13" x14ac:dyDescent="0.3">
      <c r="A284" s="35"/>
      <c r="B284" s="35"/>
      <c r="C284" s="36">
        <v>46087.391898148147</v>
      </c>
      <c r="D284" s="35" t="s">
        <v>362</v>
      </c>
      <c r="E284" s="35" t="s">
        <v>95</v>
      </c>
      <c r="F284" s="35">
        <v>0</v>
      </c>
      <c r="G284" s="35" t="s">
        <v>632</v>
      </c>
      <c r="H284" s="35"/>
      <c r="I284" s="35"/>
      <c r="J284" s="35"/>
      <c r="K284" s="35"/>
      <c r="L284" s="35"/>
      <c r="M284" s="35"/>
    </row>
    <row r="285" spans="1:13" x14ac:dyDescent="0.3">
      <c r="A285" s="35"/>
      <c r="B285" s="35"/>
      <c r="C285" s="36">
        <v>46087.391979166663</v>
      </c>
      <c r="D285" s="35" t="s">
        <v>362</v>
      </c>
      <c r="E285" s="35" t="s">
        <v>95</v>
      </c>
      <c r="F285" s="35">
        <v>0</v>
      </c>
      <c r="G285" s="35" t="s">
        <v>633</v>
      </c>
      <c r="H285" s="35"/>
      <c r="I285" s="35"/>
      <c r="J285" s="35"/>
      <c r="K285" s="35"/>
      <c r="L285" s="35"/>
      <c r="M285" s="35"/>
    </row>
    <row r="286" spans="1:13" x14ac:dyDescent="0.3">
      <c r="A286" s="35"/>
      <c r="B286" s="35"/>
      <c r="C286" s="36">
        <v>46087.392013888886</v>
      </c>
      <c r="D286" s="35" t="s">
        <v>362</v>
      </c>
      <c r="E286" s="35" t="s">
        <v>95</v>
      </c>
      <c r="F286" s="35">
        <v>0</v>
      </c>
      <c r="G286" s="35" t="s">
        <v>634</v>
      </c>
      <c r="H286" s="35"/>
      <c r="I286" s="35"/>
      <c r="J286" s="35"/>
      <c r="K286" s="35"/>
      <c r="L286" s="35"/>
      <c r="M286" s="35"/>
    </row>
    <row r="287" spans="1:13" x14ac:dyDescent="0.3">
      <c r="A287" s="35"/>
      <c r="B287" s="35"/>
      <c r="C287" s="36">
        <v>46087.392129629632</v>
      </c>
      <c r="D287" s="35" t="s">
        <v>362</v>
      </c>
      <c r="E287" s="35" t="s">
        <v>95</v>
      </c>
      <c r="F287" s="35">
        <v>0</v>
      </c>
      <c r="G287" s="35" t="s">
        <v>635</v>
      </c>
      <c r="H287" s="35"/>
      <c r="I287" s="35"/>
      <c r="J287" s="35"/>
      <c r="K287" s="35"/>
      <c r="L287" s="35"/>
      <c r="M287" s="35"/>
    </row>
    <row r="288" spans="1:13" x14ac:dyDescent="0.3">
      <c r="A288" s="35"/>
      <c r="B288" s="35"/>
      <c r="C288" s="36">
        <v>46087.392500000002</v>
      </c>
      <c r="D288" s="35" t="s">
        <v>362</v>
      </c>
      <c r="E288" s="35" t="s">
        <v>95</v>
      </c>
      <c r="F288" s="35">
        <v>0</v>
      </c>
      <c r="G288" s="35" t="s">
        <v>636</v>
      </c>
      <c r="H288" s="35"/>
      <c r="I288" s="35"/>
      <c r="J288" s="35"/>
      <c r="K288" s="35"/>
      <c r="L288" s="35"/>
      <c r="M288" s="35"/>
    </row>
    <row r="289" spans="1:13" x14ac:dyDescent="0.3">
      <c r="A289" s="35"/>
      <c r="B289" s="35"/>
      <c r="C289" s="36">
        <v>46087.39267361111</v>
      </c>
      <c r="D289" s="35" t="s">
        <v>362</v>
      </c>
      <c r="E289" s="35" t="s">
        <v>95</v>
      </c>
      <c r="F289" s="35">
        <v>0</v>
      </c>
      <c r="G289" s="35" t="s">
        <v>637</v>
      </c>
      <c r="H289" s="35"/>
      <c r="I289" s="35"/>
      <c r="J289" s="35"/>
      <c r="K289" s="35"/>
      <c r="L289" s="35"/>
      <c r="M289" s="35"/>
    </row>
    <row r="290" spans="1:13" x14ac:dyDescent="0.3">
      <c r="A290" s="35"/>
      <c r="B290" s="35"/>
      <c r="C290" s="36">
        <v>46087.392777777779</v>
      </c>
      <c r="D290" s="35" t="s">
        <v>350</v>
      </c>
      <c r="E290" s="35" t="s">
        <v>95</v>
      </c>
      <c r="F290" s="35">
        <v>0</v>
      </c>
      <c r="G290" s="35" t="s">
        <v>638</v>
      </c>
      <c r="H290" s="35"/>
      <c r="I290" s="35"/>
      <c r="J290" s="35"/>
      <c r="K290" s="35"/>
      <c r="L290" s="35"/>
      <c r="M290" s="35"/>
    </row>
    <row r="291" spans="1:13" x14ac:dyDescent="0.3">
      <c r="A291" s="35"/>
      <c r="B291" s="35"/>
      <c r="C291" s="36">
        <v>46087.392962962964</v>
      </c>
      <c r="D291" s="35" t="s">
        <v>362</v>
      </c>
      <c r="E291" s="35" t="s">
        <v>95</v>
      </c>
      <c r="F291" s="35">
        <v>0</v>
      </c>
      <c r="G291" s="35" t="s">
        <v>639</v>
      </c>
      <c r="H291" s="35"/>
      <c r="I291" s="35"/>
      <c r="J291" s="35"/>
      <c r="K291" s="35"/>
      <c r="L291" s="35"/>
      <c r="M291" s="35"/>
    </row>
    <row r="292" spans="1:13" x14ac:dyDescent="0.3">
      <c r="A292" s="35"/>
      <c r="B292" s="35"/>
      <c r="C292" s="36">
        <v>46087.393252314818</v>
      </c>
      <c r="D292" s="35" t="s">
        <v>362</v>
      </c>
      <c r="E292" s="35" t="s">
        <v>95</v>
      </c>
      <c r="F292" s="35">
        <v>0</v>
      </c>
      <c r="G292" s="35" t="s">
        <v>640</v>
      </c>
      <c r="H292" s="35"/>
      <c r="I292" s="35"/>
      <c r="J292" s="35"/>
      <c r="K292" s="35"/>
      <c r="L292" s="35"/>
      <c r="M292" s="35"/>
    </row>
    <row r="293" spans="1:13" x14ac:dyDescent="0.3">
      <c r="A293" s="35"/>
      <c r="B293" s="35"/>
      <c r="C293" s="36">
        <v>46087.39371527778</v>
      </c>
      <c r="D293" s="35" t="s">
        <v>362</v>
      </c>
      <c r="E293" s="35" t="s">
        <v>95</v>
      </c>
      <c r="F293" s="35">
        <v>0</v>
      </c>
      <c r="G293" s="35" t="s">
        <v>641</v>
      </c>
      <c r="H293" s="35"/>
      <c r="I293" s="35"/>
      <c r="J293" s="35"/>
      <c r="K293" s="35"/>
      <c r="L293" s="35"/>
      <c r="M293" s="35"/>
    </row>
    <row r="294" spans="1:13" x14ac:dyDescent="0.3">
      <c r="A294" s="35"/>
      <c r="B294" s="35"/>
      <c r="C294" s="36">
        <v>46087.393726851849</v>
      </c>
      <c r="D294" s="35" t="s">
        <v>362</v>
      </c>
      <c r="E294" s="35" t="s">
        <v>95</v>
      </c>
      <c r="F294" s="35">
        <v>0</v>
      </c>
      <c r="G294" s="35" t="s">
        <v>642</v>
      </c>
      <c r="H294" s="35"/>
      <c r="I294" s="35"/>
      <c r="J294" s="35"/>
      <c r="K294" s="35"/>
      <c r="L294" s="35"/>
      <c r="M294" s="35"/>
    </row>
    <row r="295" spans="1:13" x14ac:dyDescent="0.3">
      <c r="A295" s="35"/>
      <c r="B295" s="35"/>
      <c r="C295" s="36">
        <v>46087.393750000003</v>
      </c>
      <c r="D295" s="35" t="s">
        <v>362</v>
      </c>
      <c r="E295" s="35" t="s">
        <v>95</v>
      </c>
      <c r="F295" s="35">
        <v>0</v>
      </c>
      <c r="G295" s="35" t="s">
        <v>643</v>
      </c>
      <c r="H295" s="35"/>
      <c r="I295" s="35"/>
      <c r="J295" s="35"/>
      <c r="K295" s="35"/>
      <c r="L295" s="35"/>
      <c r="M295" s="35"/>
    </row>
    <row r="296" spans="1:13" x14ac:dyDescent="0.3">
      <c r="A296" s="35"/>
      <c r="B296" s="35"/>
      <c r="C296" s="36">
        <v>46087.394062500003</v>
      </c>
      <c r="D296" s="35" t="s">
        <v>362</v>
      </c>
      <c r="E296" s="35" t="s">
        <v>95</v>
      </c>
      <c r="F296" s="35">
        <v>0</v>
      </c>
      <c r="G296" s="35" t="s">
        <v>644</v>
      </c>
      <c r="H296" s="35"/>
      <c r="I296" s="35"/>
      <c r="J296" s="35"/>
      <c r="K296" s="35"/>
      <c r="L296" s="35"/>
      <c r="M296" s="35"/>
    </row>
    <row r="297" spans="1:13" x14ac:dyDescent="0.3">
      <c r="A297" s="35"/>
      <c r="B297" s="35"/>
      <c r="C297" s="36">
        <v>46087.394143518519</v>
      </c>
      <c r="D297" s="35" t="s">
        <v>362</v>
      </c>
      <c r="E297" s="35" t="s">
        <v>95</v>
      </c>
      <c r="F297" s="35">
        <v>0</v>
      </c>
      <c r="G297" s="35" t="s">
        <v>645</v>
      </c>
      <c r="H297" s="35"/>
      <c r="I297" s="35"/>
      <c r="J297" s="35"/>
      <c r="K297" s="35"/>
      <c r="L297" s="35"/>
      <c r="M297" s="35"/>
    </row>
    <row r="298" spans="1:13" x14ac:dyDescent="0.3">
      <c r="A298" s="35"/>
      <c r="B298" s="35"/>
      <c r="C298" s="36">
        <v>46087.394166666665</v>
      </c>
      <c r="D298" s="35" t="s">
        <v>350</v>
      </c>
      <c r="E298" s="35" t="s">
        <v>95</v>
      </c>
      <c r="F298" s="35">
        <v>0</v>
      </c>
      <c r="G298" s="35" t="s">
        <v>646</v>
      </c>
      <c r="H298" s="35"/>
      <c r="I298" s="35"/>
      <c r="J298" s="35"/>
      <c r="K298" s="35"/>
      <c r="L298" s="35"/>
      <c r="M298" s="35"/>
    </row>
    <row r="299" spans="1:13" x14ac:dyDescent="0.3">
      <c r="A299" s="35"/>
      <c r="B299" s="35"/>
      <c r="C299" s="35"/>
      <c r="D299" s="35" t="s">
        <v>362</v>
      </c>
      <c r="E299" s="35" t="s">
        <v>95</v>
      </c>
      <c r="F299" s="35">
        <v>0</v>
      </c>
      <c r="G299" s="35" t="s">
        <v>647</v>
      </c>
      <c r="H299" s="35"/>
      <c r="I299" s="35"/>
      <c r="J299" s="35"/>
      <c r="K299" s="35"/>
      <c r="L299" s="35"/>
      <c r="M299" s="35"/>
    </row>
    <row r="300" spans="1:13" x14ac:dyDescent="0.3">
      <c r="A300" s="35"/>
      <c r="B300" s="35"/>
      <c r="C300" s="36">
        <v>46087.394305555557</v>
      </c>
      <c r="D300" s="35" t="s">
        <v>362</v>
      </c>
      <c r="E300" s="35" t="s">
        <v>95</v>
      </c>
      <c r="F300" s="35">
        <v>0</v>
      </c>
      <c r="G300" s="35" t="s">
        <v>648</v>
      </c>
      <c r="H300" s="35"/>
      <c r="I300" s="35"/>
      <c r="J300" s="35"/>
      <c r="K300" s="35"/>
      <c r="L300" s="35"/>
      <c r="M300" s="35"/>
    </row>
    <row r="301" spans="1:13" x14ac:dyDescent="0.3">
      <c r="A301" s="35"/>
      <c r="B301" s="35"/>
      <c r="C301" s="36">
        <v>46087.394560185188</v>
      </c>
      <c r="D301" s="35" t="s">
        <v>362</v>
      </c>
      <c r="E301" s="35" t="s">
        <v>95</v>
      </c>
      <c r="F301" s="35">
        <v>0</v>
      </c>
      <c r="G301" s="35" t="s">
        <v>649</v>
      </c>
      <c r="H301" s="35"/>
      <c r="I301" s="35"/>
      <c r="J301" s="35"/>
      <c r="K301" s="35"/>
      <c r="L301" s="35"/>
      <c r="M301" s="35"/>
    </row>
    <row r="302" spans="1:13" x14ac:dyDescent="0.3">
      <c r="A302" s="35"/>
      <c r="B302" s="35"/>
      <c r="C302" s="36">
        <v>46087.394791666666</v>
      </c>
      <c r="D302" s="35" t="s">
        <v>362</v>
      </c>
      <c r="E302" s="35" t="s">
        <v>95</v>
      </c>
      <c r="F302" s="35">
        <v>0</v>
      </c>
      <c r="G302" s="35" t="s">
        <v>650</v>
      </c>
      <c r="H302" s="35"/>
      <c r="I302" s="35"/>
      <c r="J302" s="35"/>
      <c r="K302" s="35"/>
      <c r="L302" s="35"/>
      <c r="M302" s="35"/>
    </row>
    <row r="303" spans="1:13" x14ac:dyDescent="0.3">
      <c r="A303" s="35"/>
      <c r="B303" s="35"/>
      <c r="C303" s="36">
        <v>46087.394837962966</v>
      </c>
      <c r="D303" s="35" t="s">
        <v>362</v>
      </c>
      <c r="E303" s="35" t="s">
        <v>95</v>
      </c>
      <c r="F303" s="35">
        <v>0</v>
      </c>
      <c r="G303" s="35" t="s">
        <v>651</v>
      </c>
      <c r="H303" s="35"/>
      <c r="I303" s="35"/>
      <c r="J303" s="35"/>
      <c r="K303" s="35"/>
      <c r="L303" s="35"/>
      <c r="M303" s="35"/>
    </row>
    <row r="304" spans="1:13" x14ac:dyDescent="0.3">
      <c r="A304" s="35"/>
      <c r="B304" s="35"/>
      <c r="C304" s="36">
        <v>46087.395451388889</v>
      </c>
      <c r="D304" s="35" t="s">
        <v>362</v>
      </c>
      <c r="E304" s="35" t="s">
        <v>95</v>
      </c>
      <c r="F304" s="35">
        <v>0</v>
      </c>
      <c r="G304" s="35" t="s">
        <v>652</v>
      </c>
      <c r="H304" s="35"/>
      <c r="I304" s="35"/>
      <c r="J304" s="35"/>
      <c r="K304" s="35"/>
      <c r="L304" s="35"/>
      <c r="M304" s="35"/>
    </row>
    <row r="305" spans="1:13" x14ac:dyDescent="0.3">
      <c r="A305" s="35"/>
      <c r="B305" s="35"/>
      <c r="C305" s="36">
        <v>46087.395486111112</v>
      </c>
      <c r="D305" s="35" t="s">
        <v>362</v>
      </c>
      <c r="E305" s="35" t="s">
        <v>95</v>
      </c>
      <c r="F305" s="35">
        <v>0</v>
      </c>
      <c r="G305" s="35" t="s">
        <v>653</v>
      </c>
      <c r="H305" s="35"/>
      <c r="I305" s="35"/>
      <c r="J305" s="35"/>
      <c r="K305" s="35"/>
      <c r="L305" s="35"/>
      <c r="M305" s="35"/>
    </row>
    <row r="306" spans="1:13" x14ac:dyDescent="0.3">
      <c r="A306" s="35"/>
      <c r="B306" s="35"/>
      <c r="C306" s="36">
        <v>46087.395567129628</v>
      </c>
      <c r="D306" s="35" t="s">
        <v>350</v>
      </c>
      <c r="E306" s="35" t="s">
        <v>95</v>
      </c>
      <c r="F306" s="35">
        <v>0</v>
      </c>
      <c r="G306" s="35" t="s">
        <v>654</v>
      </c>
      <c r="H306" s="35"/>
      <c r="I306" s="35"/>
      <c r="J306" s="35"/>
      <c r="K306" s="35"/>
      <c r="L306" s="35"/>
      <c r="M306" s="35"/>
    </row>
    <row r="307" spans="1:13" x14ac:dyDescent="0.3">
      <c r="A307" s="35"/>
      <c r="B307" s="35"/>
      <c r="C307" s="36">
        <v>46087.395856481482</v>
      </c>
      <c r="D307" s="35" t="s">
        <v>362</v>
      </c>
      <c r="E307" s="35" t="s">
        <v>95</v>
      </c>
      <c r="F307" s="35">
        <v>0</v>
      </c>
      <c r="G307" s="35" t="s">
        <v>655</v>
      </c>
      <c r="H307" s="35"/>
      <c r="I307" s="35"/>
      <c r="J307" s="35"/>
      <c r="K307" s="35"/>
      <c r="L307" s="35"/>
      <c r="M307" s="35"/>
    </row>
    <row r="308" spans="1:13" x14ac:dyDescent="0.3">
      <c r="A308" s="35"/>
      <c r="B308" s="35"/>
      <c r="C308" s="36">
        <v>46087.395937499998</v>
      </c>
      <c r="D308" s="35" t="s">
        <v>362</v>
      </c>
      <c r="E308" s="35" t="s">
        <v>95</v>
      </c>
      <c r="F308" s="35">
        <v>0</v>
      </c>
      <c r="G308" s="35" t="s">
        <v>656</v>
      </c>
      <c r="H308" s="35"/>
      <c r="I308" s="35"/>
      <c r="J308" s="35"/>
      <c r="K308" s="35"/>
      <c r="L308" s="35"/>
      <c r="M308" s="35"/>
    </row>
    <row r="309" spans="1:13" x14ac:dyDescent="0.3">
      <c r="A309" s="35"/>
      <c r="B309" s="35"/>
      <c r="C309" s="36">
        <v>46087.396134259259</v>
      </c>
      <c r="D309" s="35" t="s">
        <v>362</v>
      </c>
      <c r="E309" s="35" t="s">
        <v>95</v>
      </c>
      <c r="F309" s="35">
        <v>0</v>
      </c>
      <c r="G309" s="35" t="s">
        <v>657</v>
      </c>
      <c r="H309" s="35"/>
      <c r="I309" s="35"/>
      <c r="J309" s="35"/>
      <c r="K309" s="35"/>
      <c r="L309" s="35"/>
      <c r="M309" s="35"/>
    </row>
    <row r="310" spans="1:13" x14ac:dyDescent="0.3">
      <c r="A310" s="35"/>
      <c r="B310" s="35"/>
      <c r="C310" s="36">
        <v>46087.396249999998</v>
      </c>
      <c r="D310" s="35" t="s">
        <v>362</v>
      </c>
      <c r="E310" s="35" t="s">
        <v>95</v>
      </c>
      <c r="F310" s="35">
        <v>0</v>
      </c>
      <c r="G310" s="35" t="s">
        <v>658</v>
      </c>
      <c r="H310" s="35"/>
      <c r="I310" s="35"/>
      <c r="J310" s="35"/>
      <c r="K310" s="35"/>
      <c r="L310" s="35"/>
      <c r="M310" s="35"/>
    </row>
    <row r="311" spans="1:13" x14ac:dyDescent="0.3">
      <c r="A311" s="35"/>
      <c r="B311" s="35"/>
      <c r="C311" s="36">
        <v>46087.396319444444</v>
      </c>
      <c r="D311" s="35" t="s">
        <v>362</v>
      </c>
      <c r="E311" s="35" t="s">
        <v>95</v>
      </c>
      <c r="F311" s="35">
        <v>0</v>
      </c>
      <c r="G311" s="35" t="s">
        <v>659</v>
      </c>
      <c r="H311" s="35"/>
      <c r="I311" s="35"/>
      <c r="J311" s="35"/>
      <c r="K311" s="35"/>
      <c r="L311" s="35"/>
      <c r="M311" s="35"/>
    </row>
    <row r="312" spans="1:13" x14ac:dyDescent="0.3">
      <c r="A312" s="35"/>
      <c r="B312" s="35"/>
      <c r="C312" s="36">
        <v>46087.396377314813</v>
      </c>
      <c r="D312" s="35" t="s">
        <v>362</v>
      </c>
      <c r="E312" s="35" t="s">
        <v>95</v>
      </c>
      <c r="F312" s="35">
        <v>0</v>
      </c>
      <c r="G312" s="35" t="s">
        <v>660</v>
      </c>
      <c r="H312" s="35"/>
      <c r="I312" s="35"/>
      <c r="J312" s="35"/>
      <c r="K312" s="35"/>
      <c r="L312" s="35"/>
      <c r="M312" s="35"/>
    </row>
    <row r="313" spans="1:13" x14ac:dyDescent="0.3">
      <c r="A313" s="35"/>
      <c r="B313" s="35"/>
      <c r="C313" s="36">
        <v>46087.396481481483</v>
      </c>
      <c r="D313" s="35" t="s">
        <v>362</v>
      </c>
      <c r="E313" s="35" t="s">
        <v>95</v>
      </c>
      <c r="F313" s="35">
        <v>0</v>
      </c>
      <c r="G313" s="35" t="s">
        <v>661</v>
      </c>
      <c r="H313" s="35"/>
      <c r="I313" s="35"/>
      <c r="J313" s="35"/>
      <c r="K313" s="35"/>
      <c r="L313" s="35"/>
      <c r="M313" s="35"/>
    </row>
    <row r="314" spans="1:13" x14ac:dyDescent="0.3">
      <c r="A314" s="35"/>
      <c r="B314" s="35"/>
      <c r="C314" s="36">
        <v>46087.396863425929</v>
      </c>
      <c r="D314" s="35" t="s">
        <v>362</v>
      </c>
      <c r="E314" s="35" t="s">
        <v>95</v>
      </c>
      <c r="F314" s="35">
        <v>0</v>
      </c>
      <c r="G314" s="35" t="s">
        <v>662</v>
      </c>
      <c r="H314" s="35"/>
      <c r="I314" s="35"/>
      <c r="J314" s="35"/>
      <c r="K314" s="35"/>
      <c r="L314" s="35"/>
      <c r="M314" s="35"/>
    </row>
    <row r="315" spans="1:13" x14ac:dyDescent="0.3">
      <c r="A315" s="35"/>
      <c r="B315" s="35"/>
      <c r="C315" s="36">
        <v>46087.396990740737</v>
      </c>
      <c r="D315" s="35" t="s">
        <v>362</v>
      </c>
      <c r="E315" s="35" t="s">
        <v>95</v>
      </c>
      <c r="F315" s="35">
        <v>0</v>
      </c>
      <c r="G315" s="35" t="s">
        <v>663</v>
      </c>
      <c r="H315" s="35"/>
      <c r="I315" s="35"/>
      <c r="J315" s="35"/>
      <c r="K315" s="35"/>
      <c r="L315" s="35"/>
      <c r="M315" s="35"/>
    </row>
    <row r="316" spans="1:13" x14ac:dyDescent="0.3">
      <c r="A316" s="35"/>
      <c r="B316" s="35"/>
      <c r="C316" s="36">
        <v>46087.397152777776</v>
      </c>
      <c r="D316" s="35" t="s">
        <v>362</v>
      </c>
      <c r="E316" s="35" t="s">
        <v>95</v>
      </c>
      <c r="F316" s="35">
        <v>0</v>
      </c>
      <c r="G316" s="35" t="s">
        <v>664</v>
      </c>
      <c r="H316" s="35"/>
      <c r="I316" s="35"/>
      <c r="J316" s="35"/>
      <c r="K316" s="35"/>
      <c r="L316" s="35"/>
      <c r="M316" s="35"/>
    </row>
    <row r="317" spans="1:13" x14ac:dyDescent="0.3">
      <c r="A317" s="35"/>
      <c r="B317" s="35"/>
      <c r="C317" s="36">
        <v>46087.397187499999</v>
      </c>
      <c r="D317" s="35" t="s">
        <v>350</v>
      </c>
      <c r="E317" s="35" t="s">
        <v>95</v>
      </c>
      <c r="F317" s="35">
        <v>0</v>
      </c>
      <c r="G317" s="35" t="s">
        <v>665</v>
      </c>
      <c r="H317" s="35"/>
      <c r="I317" s="35"/>
      <c r="J317" s="35"/>
      <c r="K317" s="35"/>
      <c r="L317" s="35"/>
      <c r="M317" s="35"/>
    </row>
    <row r="318" spans="1:13" x14ac:dyDescent="0.3">
      <c r="A318" s="35"/>
      <c r="B318" s="35"/>
      <c r="C318" s="36">
        <v>46087.398310185185</v>
      </c>
      <c r="D318" s="35" t="s">
        <v>362</v>
      </c>
      <c r="E318" s="35" t="s">
        <v>95</v>
      </c>
      <c r="F318" s="35">
        <v>0</v>
      </c>
      <c r="G318" s="35" t="s">
        <v>666</v>
      </c>
      <c r="H318" s="35"/>
      <c r="I318" s="35"/>
      <c r="J318" s="35"/>
      <c r="K318" s="35"/>
      <c r="L318" s="35"/>
      <c r="M318" s="35"/>
    </row>
    <row r="319" spans="1:13" x14ac:dyDescent="0.3">
      <c r="A319" s="35"/>
      <c r="B319" s="35"/>
      <c r="C319" s="36">
        <v>46087.398344907408</v>
      </c>
      <c r="D319" s="35" t="s">
        <v>350</v>
      </c>
      <c r="E319" s="35" t="s">
        <v>95</v>
      </c>
      <c r="F319" s="35">
        <v>0</v>
      </c>
      <c r="G319" s="35" t="s">
        <v>667</v>
      </c>
      <c r="H319" s="35"/>
      <c r="I319" s="35"/>
      <c r="J319" s="35"/>
      <c r="K319" s="35"/>
      <c r="L319" s="35"/>
      <c r="M319" s="35"/>
    </row>
    <row r="320" spans="1:13" x14ac:dyDescent="0.3">
      <c r="A320" s="35"/>
      <c r="B320" s="35"/>
      <c r="C320" s="36">
        <v>46087.398402777777</v>
      </c>
      <c r="D320" s="35" t="s">
        <v>362</v>
      </c>
      <c r="E320" s="35" t="s">
        <v>95</v>
      </c>
      <c r="F320" s="35">
        <v>0</v>
      </c>
      <c r="G320" s="35" t="s">
        <v>668</v>
      </c>
      <c r="H320" s="35"/>
      <c r="I320" s="35"/>
      <c r="J320" s="35"/>
      <c r="K320" s="35"/>
      <c r="L320" s="35"/>
      <c r="M320" s="35"/>
    </row>
    <row r="321" spans="1:13" x14ac:dyDescent="0.3">
      <c r="A321" s="35"/>
      <c r="B321" s="35"/>
      <c r="C321" s="36">
        <v>46087.398599537039</v>
      </c>
      <c r="D321" s="35" t="s">
        <v>362</v>
      </c>
      <c r="E321" s="35" t="s">
        <v>95</v>
      </c>
      <c r="F321" s="35">
        <v>0</v>
      </c>
      <c r="G321" s="35" t="s">
        <v>669</v>
      </c>
      <c r="H321" s="35"/>
      <c r="I321" s="35"/>
      <c r="J321" s="35"/>
      <c r="K321" s="35"/>
      <c r="L321" s="35"/>
      <c r="M321" s="35"/>
    </row>
    <row r="322" spans="1:13" x14ac:dyDescent="0.3">
      <c r="A322" s="35"/>
      <c r="B322" s="35"/>
      <c r="C322" s="36">
        <v>46087.398993055554</v>
      </c>
      <c r="D322" s="35" t="s">
        <v>362</v>
      </c>
      <c r="E322" s="35" t="s">
        <v>95</v>
      </c>
      <c r="F322" s="35">
        <v>0</v>
      </c>
      <c r="G322" s="35" t="s">
        <v>670</v>
      </c>
      <c r="H322" s="35"/>
      <c r="I322" s="35"/>
      <c r="J322" s="35"/>
      <c r="K322" s="35"/>
      <c r="L322" s="35"/>
      <c r="M322" s="35"/>
    </row>
    <row r="323" spans="1:13" x14ac:dyDescent="0.3">
      <c r="A323" s="35"/>
      <c r="B323" s="35"/>
      <c r="C323" s="36">
        <v>46087.399050925924</v>
      </c>
      <c r="D323" s="35" t="s">
        <v>362</v>
      </c>
      <c r="E323" s="35" t="s">
        <v>95</v>
      </c>
      <c r="F323" s="35">
        <v>0</v>
      </c>
      <c r="G323" s="35" t="s">
        <v>671</v>
      </c>
      <c r="H323" s="35"/>
      <c r="I323" s="35"/>
      <c r="J323" s="35"/>
      <c r="K323" s="35"/>
      <c r="L323" s="35"/>
      <c r="M323" s="35"/>
    </row>
    <row r="324" spans="1:13" x14ac:dyDescent="0.3">
      <c r="A324" s="35"/>
      <c r="B324" s="35"/>
      <c r="C324" s="36">
        <v>46087.399270833332</v>
      </c>
      <c r="D324" s="35" t="s">
        <v>362</v>
      </c>
      <c r="E324" s="35" t="s">
        <v>95</v>
      </c>
      <c r="F324" s="35">
        <v>0</v>
      </c>
      <c r="G324" s="35" t="s">
        <v>672</v>
      </c>
      <c r="H324" s="35"/>
      <c r="I324" s="35"/>
      <c r="J324" s="35"/>
      <c r="K324" s="35"/>
      <c r="L324" s="35"/>
      <c r="M324" s="35"/>
    </row>
    <row r="325" spans="1:13" x14ac:dyDescent="0.3">
      <c r="A325" s="35"/>
      <c r="B325" s="35"/>
      <c r="C325" s="36">
        <v>46087.399317129632</v>
      </c>
      <c r="D325" s="35" t="s">
        <v>362</v>
      </c>
      <c r="E325" s="35" t="s">
        <v>95</v>
      </c>
      <c r="F325" s="35">
        <v>0</v>
      </c>
      <c r="G325" s="35" t="s">
        <v>673</v>
      </c>
      <c r="H325" s="35"/>
      <c r="I325" s="35"/>
      <c r="J325" s="35"/>
      <c r="K325" s="35"/>
      <c r="L325" s="35"/>
      <c r="M325" s="35"/>
    </row>
    <row r="326" spans="1:13" x14ac:dyDescent="0.3">
      <c r="A326" s="35"/>
      <c r="B326" s="35"/>
      <c r="C326" s="36">
        <v>46087.399733796294</v>
      </c>
      <c r="D326" s="35" t="s">
        <v>350</v>
      </c>
      <c r="E326" s="35" t="s">
        <v>95</v>
      </c>
      <c r="F326" s="35">
        <v>0</v>
      </c>
      <c r="G326" s="35" t="s">
        <v>674</v>
      </c>
      <c r="H326" s="35"/>
      <c r="I326" s="35"/>
      <c r="J326" s="35"/>
      <c r="K326" s="35"/>
      <c r="L326" s="35"/>
      <c r="M326" s="35"/>
    </row>
    <row r="327" spans="1:13" x14ac:dyDescent="0.3">
      <c r="A327" s="35"/>
      <c r="B327" s="35"/>
      <c r="C327" s="36">
        <v>46087.399837962963</v>
      </c>
      <c r="D327" s="35" t="s">
        <v>362</v>
      </c>
      <c r="E327" s="35" t="s">
        <v>95</v>
      </c>
      <c r="F327" s="35">
        <v>0</v>
      </c>
      <c r="G327" s="35" t="s">
        <v>675</v>
      </c>
      <c r="H327" s="35"/>
      <c r="I327" s="35"/>
      <c r="J327" s="35"/>
      <c r="K327" s="35"/>
      <c r="L327" s="35"/>
      <c r="M327" s="35"/>
    </row>
    <row r="328" spans="1:13" x14ac:dyDescent="0.3">
      <c r="A328" s="35"/>
      <c r="B328" s="35"/>
      <c r="C328" s="36">
        <v>46087.399918981479</v>
      </c>
      <c r="D328" s="35" t="s">
        <v>362</v>
      </c>
      <c r="E328" s="35" t="s">
        <v>95</v>
      </c>
      <c r="F328" s="35">
        <v>0</v>
      </c>
      <c r="G328" s="35" t="s">
        <v>676</v>
      </c>
      <c r="H328" s="35"/>
      <c r="I328" s="35"/>
      <c r="J328" s="35"/>
      <c r="K328" s="35"/>
      <c r="L328" s="35"/>
      <c r="M328" s="35"/>
    </row>
    <row r="329" spans="1:13" x14ac:dyDescent="0.3">
      <c r="A329" s="35"/>
      <c r="B329" s="35"/>
      <c r="C329" s="36">
        <v>46087.40011574074</v>
      </c>
      <c r="D329" s="35" t="s">
        <v>362</v>
      </c>
      <c r="E329" s="35" t="s">
        <v>95</v>
      </c>
      <c r="F329" s="35">
        <v>0</v>
      </c>
      <c r="G329" s="35" t="s">
        <v>677</v>
      </c>
      <c r="H329" s="35"/>
      <c r="I329" s="35"/>
      <c r="J329" s="35"/>
      <c r="K329" s="35"/>
      <c r="L329" s="35"/>
      <c r="M329" s="35"/>
    </row>
    <row r="330" spans="1:13" x14ac:dyDescent="0.3">
      <c r="A330" s="35"/>
      <c r="B330" s="35"/>
      <c r="C330" s="36">
        <v>46087.400416666664</v>
      </c>
      <c r="D330" s="35" t="s">
        <v>357</v>
      </c>
      <c r="E330" s="35" t="s">
        <v>95</v>
      </c>
      <c r="F330" s="35">
        <v>0</v>
      </c>
      <c r="G330" s="35" t="s">
        <v>678</v>
      </c>
      <c r="H330" s="35"/>
      <c r="I330" s="35"/>
      <c r="J330" s="35"/>
      <c r="K330" s="35"/>
      <c r="L330" s="35"/>
      <c r="M330" s="35"/>
    </row>
    <row r="331" spans="1:13" x14ac:dyDescent="0.3">
      <c r="A331" s="35"/>
      <c r="B331" s="35"/>
      <c r="C331" s="36">
        <v>46087.400439814817</v>
      </c>
      <c r="D331" s="35" t="s">
        <v>350</v>
      </c>
      <c r="E331" s="35" t="s">
        <v>95</v>
      </c>
      <c r="F331" s="35">
        <v>0</v>
      </c>
      <c r="G331" s="35" t="s">
        <v>679</v>
      </c>
      <c r="H331" s="35"/>
      <c r="I331" s="35"/>
      <c r="J331" s="35"/>
      <c r="K331" s="35"/>
      <c r="L331" s="35"/>
      <c r="M331" s="35"/>
    </row>
    <row r="332" spans="1:13" x14ac:dyDescent="0.3">
      <c r="A332" s="35"/>
      <c r="B332" s="35"/>
      <c r="C332" s="36">
        <v>46087.40053240741</v>
      </c>
      <c r="D332" s="35" t="s">
        <v>362</v>
      </c>
      <c r="E332" s="35" t="s">
        <v>95</v>
      </c>
      <c r="F332" s="35">
        <v>0</v>
      </c>
      <c r="G332" s="35" t="s">
        <v>680</v>
      </c>
      <c r="H332" s="35"/>
      <c r="I332" s="35"/>
      <c r="J332" s="35"/>
      <c r="K332" s="35"/>
      <c r="L332" s="35"/>
      <c r="M332" s="35"/>
    </row>
    <row r="333" spans="1:13" x14ac:dyDescent="0.3">
      <c r="A333" s="35"/>
      <c r="B333" s="35"/>
      <c r="C333" s="36">
        <v>46087.400613425925</v>
      </c>
      <c r="D333" s="35" t="s">
        <v>362</v>
      </c>
      <c r="E333" s="35" t="s">
        <v>95</v>
      </c>
      <c r="F333" s="35">
        <v>0</v>
      </c>
      <c r="G333" s="35" t="s">
        <v>681</v>
      </c>
      <c r="H333" s="35"/>
      <c r="I333" s="35"/>
      <c r="J333" s="35"/>
      <c r="K333" s="35"/>
      <c r="L333" s="35"/>
      <c r="M333" s="35"/>
    </row>
    <row r="334" spans="1:13" x14ac:dyDescent="0.3">
      <c r="A334" s="35"/>
      <c r="B334" s="35"/>
      <c r="C334" s="36">
        <v>46087.400636574072</v>
      </c>
      <c r="D334" s="35" t="s">
        <v>362</v>
      </c>
      <c r="E334" s="35" t="s">
        <v>95</v>
      </c>
      <c r="F334" s="35">
        <v>0</v>
      </c>
      <c r="G334" s="35" t="s">
        <v>682</v>
      </c>
      <c r="H334" s="35"/>
      <c r="I334" s="35"/>
      <c r="J334" s="35"/>
      <c r="K334" s="35"/>
      <c r="L334" s="35"/>
      <c r="M334" s="35"/>
    </row>
    <row r="335" spans="1:13" x14ac:dyDescent="0.3">
      <c r="A335" s="35"/>
      <c r="B335" s="35"/>
      <c r="C335" s="36">
        <v>46087.400659722225</v>
      </c>
      <c r="D335" s="35" t="s">
        <v>362</v>
      </c>
      <c r="E335" s="35" t="s">
        <v>95</v>
      </c>
      <c r="F335" s="35">
        <v>0</v>
      </c>
      <c r="G335" s="35" t="s">
        <v>683</v>
      </c>
      <c r="H335" s="35"/>
      <c r="I335" s="35"/>
      <c r="J335" s="35"/>
      <c r="K335" s="35"/>
      <c r="L335" s="35"/>
      <c r="M335" s="35"/>
    </row>
    <row r="336" spans="1:13" x14ac:dyDescent="0.3">
      <c r="A336" s="35"/>
      <c r="B336" s="35"/>
      <c r="C336" s="36">
        <v>46087.400740740741</v>
      </c>
      <c r="D336" s="35" t="s">
        <v>362</v>
      </c>
      <c r="E336" s="35" t="s">
        <v>95</v>
      </c>
      <c r="F336" s="35">
        <v>0</v>
      </c>
      <c r="G336" s="35" t="s">
        <v>684</v>
      </c>
      <c r="H336" s="35"/>
      <c r="I336" s="35"/>
      <c r="J336" s="35"/>
      <c r="K336" s="35"/>
      <c r="L336" s="35"/>
      <c r="M336" s="35"/>
    </row>
    <row r="337" spans="1:13" x14ac:dyDescent="0.3">
      <c r="A337" s="35"/>
      <c r="B337" s="35"/>
      <c r="C337" s="36">
        <v>46087.400810185187</v>
      </c>
      <c r="D337" s="35" t="s">
        <v>362</v>
      </c>
      <c r="E337" s="35" t="s">
        <v>95</v>
      </c>
      <c r="F337" s="35">
        <v>0</v>
      </c>
      <c r="G337" s="35" t="s">
        <v>685</v>
      </c>
      <c r="H337" s="35"/>
      <c r="I337" s="35"/>
      <c r="J337" s="35"/>
      <c r="K337" s="35"/>
      <c r="L337" s="35"/>
      <c r="M337" s="35"/>
    </row>
    <row r="338" spans="1:13" x14ac:dyDescent="0.3">
      <c r="A338" s="35"/>
      <c r="B338" s="35"/>
      <c r="C338" s="36">
        <v>46087.400833333333</v>
      </c>
      <c r="D338" s="35" t="s">
        <v>362</v>
      </c>
      <c r="E338" s="35" t="s">
        <v>95</v>
      </c>
      <c r="F338" s="35">
        <v>0</v>
      </c>
      <c r="G338" s="35" t="s">
        <v>686</v>
      </c>
      <c r="H338" s="35"/>
      <c r="I338" s="35"/>
      <c r="J338" s="35"/>
      <c r="K338" s="35"/>
      <c r="L338" s="35"/>
      <c r="M338" s="35"/>
    </row>
    <row r="339" spans="1:13" x14ac:dyDescent="0.3">
      <c r="A339" s="35"/>
      <c r="B339" s="35"/>
      <c r="C339" s="36">
        <v>46087.40084490741</v>
      </c>
      <c r="D339" s="35" t="s">
        <v>362</v>
      </c>
      <c r="E339" s="35" t="s">
        <v>95</v>
      </c>
      <c r="F339" s="35">
        <v>0</v>
      </c>
      <c r="G339" s="35" t="s">
        <v>687</v>
      </c>
      <c r="H339" s="35"/>
      <c r="I339" s="35"/>
      <c r="J339" s="35"/>
      <c r="K339" s="35"/>
      <c r="L339" s="35"/>
      <c r="M339" s="35"/>
    </row>
    <row r="340" spans="1:13" x14ac:dyDescent="0.3">
      <c r="A340" s="35"/>
      <c r="B340" s="35"/>
      <c r="C340" s="36">
        <v>46087.401122685187</v>
      </c>
      <c r="D340" s="35" t="s">
        <v>362</v>
      </c>
      <c r="E340" s="35" t="s">
        <v>95</v>
      </c>
      <c r="F340" s="35">
        <v>0</v>
      </c>
      <c r="G340" s="35" t="s">
        <v>688</v>
      </c>
      <c r="H340" s="35"/>
      <c r="I340" s="35"/>
      <c r="J340" s="35"/>
      <c r="K340" s="35"/>
      <c r="L340" s="35"/>
      <c r="M340" s="35"/>
    </row>
    <row r="341" spans="1:13" x14ac:dyDescent="0.3">
      <c r="A341" s="35"/>
      <c r="B341" s="35"/>
      <c r="C341" s="36">
        <v>46087.401134259257</v>
      </c>
      <c r="D341" s="35" t="s">
        <v>350</v>
      </c>
      <c r="E341" s="35" t="s">
        <v>95</v>
      </c>
      <c r="F341" s="35">
        <v>0</v>
      </c>
      <c r="G341" s="35" t="s">
        <v>689</v>
      </c>
      <c r="H341" s="35"/>
      <c r="I341" s="35"/>
      <c r="J341" s="35"/>
      <c r="K341" s="35"/>
      <c r="L341" s="35"/>
      <c r="M341" s="35"/>
    </row>
    <row r="342" spans="1:13" x14ac:dyDescent="0.3">
      <c r="A342" s="35"/>
      <c r="B342" s="35"/>
      <c r="C342" s="36">
        <v>46087.401145833333</v>
      </c>
      <c r="D342" s="35" t="s">
        <v>362</v>
      </c>
      <c r="E342" s="35" t="s">
        <v>95</v>
      </c>
      <c r="F342" s="35">
        <v>0</v>
      </c>
      <c r="G342" s="35" t="s">
        <v>690</v>
      </c>
      <c r="H342" s="35"/>
      <c r="I342" s="35"/>
      <c r="J342" s="35"/>
      <c r="K342" s="35"/>
      <c r="L342" s="35"/>
      <c r="M342" s="35"/>
    </row>
    <row r="343" spans="1:13" x14ac:dyDescent="0.3">
      <c r="A343" s="35"/>
      <c r="B343" s="35"/>
      <c r="C343" s="36">
        <v>46087.401342592595</v>
      </c>
      <c r="D343" s="35" t="s">
        <v>362</v>
      </c>
      <c r="E343" s="35" t="s">
        <v>95</v>
      </c>
      <c r="F343" s="35">
        <v>0</v>
      </c>
      <c r="G343" s="35" t="s">
        <v>691</v>
      </c>
      <c r="H343" s="35"/>
      <c r="I343" s="35"/>
      <c r="J343" s="35"/>
      <c r="K343" s="35"/>
      <c r="L343" s="35"/>
      <c r="M343" s="35"/>
    </row>
    <row r="344" spans="1:13" x14ac:dyDescent="0.3">
      <c r="A344" s="35"/>
      <c r="B344" s="35"/>
      <c r="C344" s="36">
        <v>46087.401377314818</v>
      </c>
      <c r="D344" s="35" t="s">
        <v>362</v>
      </c>
      <c r="E344" s="35" t="s">
        <v>95</v>
      </c>
      <c r="F344" s="35">
        <v>0</v>
      </c>
      <c r="G344" s="35" t="s">
        <v>692</v>
      </c>
      <c r="H344" s="35"/>
      <c r="I344" s="35"/>
      <c r="J344" s="35"/>
      <c r="K344" s="35"/>
      <c r="L344" s="35"/>
      <c r="M344" s="35"/>
    </row>
    <row r="345" spans="1:13" x14ac:dyDescent="0.3">
      <c r="A345" s="35"/>
      <c r="B345" s="35"/>
      <c r="C345" s="36">
        <v>46087.401412037034</v>
      </c>
      <c r="D345" s="35" t="s">
        <v>362</v>
      </c>
      <c r="E345" s="35" t="s">
        <v>95</v>
      </c>
      <c r="F345" s="35">
        <v>0</v>
      </c>
      <c r="G345" s="35" t="s">
        <v>693</v>
      </c>
      <c r="H345" s="35"/>
      <c r="I345" s="35"/>
      <c r="J345" s="35"/>
      <c r="K345" s="35"/>
      <c r="L345" s="35"/>
      <c r="M345" s="35"/>
    </row>
    <row r="346" spans="1:13" x14ac:dyDescent="0.3">
      <c r="A346" s="35"/>
      <c r="B346" s="35"/>
      <c r="C346" s="36">
        <v>46087.401446759257</v>
      </c>
      <c r="D346" s="35" t="s">
        <v>362</v>
      </c>
      <c r="E346" s="35" t="s">
        <v>95</v>
      </c>
      <c r="F346" s="35">
        <v>0</v>
      </c>
      <c r="G346" s="35" t="s">
        <v>694</v>
      </c>
      <c r="H346" s="35"/>
      <c r="I346" s="35"/>
      <c r="J346" s="35"/>
      <c r="K346" s="35"/>
      <c r="L346" s="35"/>
      <c r="M346" s="35"/>
    </row>
    <row r="347" spans="1:13" x14ac:dyDescent="0.3">
      <c r="A347" s="35"/>
      <c r="B347" s="35"/>
      <c r="C347" s="36">
        <v>46087.401747685188</v>
      </c>
      <c r="D347" s="35" t="s">
        <v>362</v>
      </c>
      <c r="E347" s="35" t="s">
        <v>95</v>
      </c>
      <c r="F347" s="35">
        <v>0</v>
      </c>
      <c r="G347" s="35" t="s">
        <v>695</v>
      </c>
      <c r="H347" s="35"/>
      <c r="I347" s="35"/>
      <c r="J347" s="35"/>
      <c r="K347" s="35"/>
      <c r="L347" s="35"/>
      <c r="M347" s="35"/>
    </row>
    <row r="348" spans="1:13" x14ac:dyDescent="0.3">
      <c r="A348" s="35"/>
      <c r="B348" s="35"/>
      <c r="C348" s="36">
        <v>46087.401770833334</v>
      </c>
      <c r="D348" s="35" t="s">
        <v>362</v>
      </c>
      <c r="E348" s="35" t="s">
        <v>95</v>
      </c>
      <c r="F348" s="35">
        <v>0</v>
      </c>
      <c r="G348" s="35" t="s">
        <v>696</v>
      </c>
      <c r="H348" s="35"/>
      <c r="I348" s="35"/>
      <c r="J348" s="35"/>
      <c r="K348" s="35"/>
      <c r="L348" s="35"/>
      <c r="M348" s="35"/>
    </row>
    <row r="349" spans="1:13" x14ac:dyDescent="0.3">
      <c r="A349" s="35"/>
      <c r="B349" s="35"/>
      <c r="C349" s="36">
        <v>46087.401805555557</v>
      </c>
      <c r="D349" s="35" t="s">
        <v>362</v>
      </c>
      <c r="E349" s="35" t="s">
        <v>95</v>
      </c>
      <c r="F349" s="35">
        <v>0</v>
      </c>
      <c r="G349" s="35" t="s">
        <v>697</v>
      </c>
      <c r="H349" s="35"/>
      <c r="I349" s="35"/>
      <c r="J349" s="35"/>
      <c r="K349" s="35"/>
      <c r="L349" s="35"/>
      <c r="M349" s="35"/>
    </row>
    <row r="350" spans="1:13" x14ac:dyDescent="0.3">
      <c r="A350" s="35"/>
      <c r="B350" s="35"/>
      <c r="C350" s="36">
        <v>46087.401967592596</v>
      </c>
      <c r="D350" s="35" t="s">
        <v>362</v>
      </c>
      <c r="E350" s="35" t="s">
        <v>95</v>
      </c>
      <c r="F350" s="35">
        <v>0</v>
      </c>
      <c r="G350" s="35" t="s">
        <v>698</v>
      </c>
      <c r="H350" s="35"/>
      <c r="I350" s="35"/>
      <c r="J350" s="35"/>
      <c r="K350" s="35"/>
      <c r="L350" s="35"/>
      <c r="M350" s="35"/>
    </row>
    <row r="351" spans="1:13" x14ac:dyDescent="0.3">
      <c r="A351" s="35"/>
      <c r="B351" s="35"/>
      <c r="C351" s="36">
        <v>46087.402071759258</v>
      </c>
      <c r="D351" s="35" t="s">
        <v>362</v>
      </c>
      <c r="E351" s="35" t="s">
        <v>95</v>
      </c>
      <c r="F351" s="35">
        <v>0</v>
      </c>
      <c r="G351" s="35" t="s">
        <v>699</v>
      </c>
      <c r="H351" s="35"/>
      <c r="I351" s="35"/>
      <c r="J351" s="35"/>
      <c r="K351" s="35"/>
      <c r="L351" s="35"/>
      <c r="M351" s="35"/>
    </row>
    <row r="352" spans="1:13" x14ac:dyDescent="0.3">
      <c r="A352" s="35"/>
      <c r="B352" s="35"/>
      <c r="C352" s="36">
        <v>46087.40216435185</v>
      </c>
      <c r="D352" s="35" t="s">
        <v>362</v>
      </c>
      <c r="E352" s="35" t="s">
        <v>95</v>
      </c>
      <c r="F352" s="35">
        <v>0</v>
      </c>
      <c r="G352" s="35" t="s">
        <v>700</v>
      </c>
      <c r="H352" s="35"/>
      <c r="I352" s="35"/>
      <c r="J352" s="35"/>
      <c r="K352" s="35"/>
      <c r="L352" s="35"/>
      <c r="M352" s="35"/>
    </row>
    <row r="353" spans="1:13" x14ac:dyDescent="0.3">
      <c r="A353" s="35"/>
      <c r="B353" s="35"/>
      <c r="C353" s="36">
        <v>46087.402187500003</v>
      </c>
      <c r="D353" s="35" t="s">
        <v>362</v>
      </c>
      <c r="E353" s="35" t="s">
        <v>95</v>
      </c>
      <c r="F353" s="35">
        <v>0</v>
      </c>
      <c r="G353" s="35" t="s">
        <v>701</v>
      </c>
      <c r="H353" s="35"/>
      <c r="I353" s="35"/>
      <c r="J353" s="35"/>
      <c r="K353" s="35"/>
      <c r="L353" s="35"/>
      <c r="M353" s="35"/>
    </row>
    <row r="354" spans="1:13" x14ac:dyDescent="0.3">
      <c r="A354" s="35"/>
      <c r="B354" s="35"/>
      <c r="C354" s="36">
        <v>46087.40221064815</v>
      </c>
      <c r="D354" s="35" t="s">
        <v>362</v>
      </c>
      <c r="E354" s="35" t="s">
        <v>95</v>
      </c>
      <c r="F354" s="35">
        <v>0</v>
      </c>
      <c r="G354" s="35" t="s">
        <v>702</v>
      </c>
      <c r="H354" s="35"/>
      <c r="I354" s="35"/>
      <c r="J354" s="35"/>
      <c r="K354" s="35"/>
      <c r="L354" s="35"/>
      <c r="M354" s="35"/>
    </row>
    <row r="355" spans="1:13" x14ac:dyDescent="0.3">
      <c r="A355" s="35"/>
      <c r="B355" s="35"/>
      <c r="C355" s="36">
        <v>46087.402291666665</v>
      </c>
      <c r="D355" s="35" t="s">
        <v>362</v>
      </c>
      <c r="E355" s="35" t="s">
        <v>95</v>
      </c>
      <c r="F355" s="35">
        <v>0</v>
      </c>
      <c r="G355" s="35" t="s">
        <v>703</v>
      </c>
      <c r="H355" s="35"/>
      <c r="I355" s="35"/>
      <c r="J355" s="35"/>
      <c r="K355" s="35"/>
      <c r="L355" s="35"/>
      <c r="M355" s="35"/>
    </row>
    <row r="356" spans="1:13" x14ac:dyDescent="0.3">
      <c r="A356" s="35"/>
      <c r="B356" s="35"/>
      <c r="C356" s="36">
        <v>46087.402407407404</v>
      </c>
      <c r="D356" s="35" t="s">
        <v>362</v>
      </c>
      <c r="E356" s="35" t="s">
        <v>95</v>
      </c>
      <c r="F356" s="35">
        <v>0</v>
      </c>
      <c r="G356" s="35" t="s">
        <v>704</v>
      </c>
      <c r="H356" s="35"/>
      <c r="I356" s="35"/>
      <c r="J356" s="35"/>
      <c r="K356" s="35"/>
      <c r="L356" s="35"/>
      <c r="M356" s="35"/>
    </row>
    <row r="357" spans="1:13" x14ac:dyDescent="0.3">
      <c r="A357" s="35"/>
      <c r="B357" s="35"/>
      <c r="C357" s="36">
        <v>46087.402453703704</v>
      </c>
      <c r="D357" s="35" t="s">
        <v>362</v>
      </c>
      <c r="E357" s="35" t="s">
        <v>95</v>
      </c>
      <c r="F357" s="35">
        <v>0</v>
      </c>
      <c r="G357" s="35" t="s">
        <v>705</v>
      </c>
      <c r="H357" s="35"/>
      <c r="I357" s="35"/>
      <c r="J357" s="35"/>
      <c r="K357" s="35"/>
      <c r="L357" s="35"/>
      <c r="M357" s="35"/>
    </row>
    <row r="358" spans="1:13" x14ac:dyDescent="0.3">
      <c r="A358" s="35"/>
      <c r="B358" s="35"/>
      <c r="C358" s="36">
        <v>46087.402627314812</v>
      </c>
      <c r="D358" s="35" t="s">
        <v>362</v>
      </c>
      <c r="E358" s="35" t="s">
        <v>95</v>
      </c>
      <c r="F358" s="35">
        <v>0</v>
      </c>
      <c r="G358" s="35" t="s">
        <v>706</v>
      </c>
      <c r="H358" s="35"/>
      <c r="I358" s="35"/>
      <c r="J358" s="35"/>
      <c r="K358" s="35"/>
      <c r="L358" s="35"/>
      <c r="M358" s="35"/>
    </row>
    <row r="359" spans="1:13" x14ac:dyDescent="0.3">
      <c r="A359" s="35"/>
      <c r="B359" s="35"/>
      <c r="C359" s="36">
        <v>46087.403148148151</v>
      </c>
      <c r="D359" s="35" t="s">
        <v>362</v>
      </c>
      <c r="E359" s="35" t="s">
        <v>95</v>
      </c>
      <c r="F359" s="35">
        <v>0</v>
      </c>
      <c r="G359" s="35" t="s">
        <v>707</v>
      </c>
      <c r="H359" s="35"/>
      <c r="I359" s="35"/>
      <c r="J359" s="35"/>
      <c r="K359" s="35"/>
      <c r="L359" s="35"/>
      <c r="M359" s="35"/>
    </row>
    <row r="360" spans="1:13" x14ac:dyDescent="0.3">
      <c r="A360" s="35"/>
      <c r="B360" s="35"/>
      <c r="C360" s="36">
        <v>46087.403368055559</v>
      </c>
      <c r="D360" s="35" t="s">
        <v>362</v>
      </c>
      <c r="E360" s="35" t="s">
        <v>95</v>
      </c>
      <c r="F360" s="35">
        <v>0</v>
      </c>
      <c r="G360" s="35" t="s">
        <v>708</v>
      </c>
      <c r="H360" s="35"/>
      <c r="I360" s="35"/>
      <c r="J360" s="35"/>
      <c r="K360" s="35"/>
      <c r="L360" s="35"/>
      <c r="M360" s="35"/>
    </row>
    <row r="361" spans="1:13" x14ac:dyDescent="0.3">
      <c r="A361" s="35"/>
      <c r="B361" s="35"/>
      <c r="C361" s="36">
        <v>46087.403379629628</v>
      </c>
      <c r="D361" s="35" t="s">
        <v>362</v>
      </c>
      <c r="E361" s="35" t="s">
        <v>95</v>
      </c>
      <c r="F361" s="35">
        <v>0</v>
      </c>
      <c r="G361" s="35" t="s">
        <v>709</v>
      </c>
      <c r="H361" s="35"/>
      <c r="I361" s="35"/>
      <c r="J361" s="35"/>
      <c r="K361" s="35"/>
      <c r="L361" s="35"/>
      <c r="M361" s="35"/>
    </row>
    <row r="362" spans="1:13" x14ac:dyDescent="0.3">
      <c r="A362" s="35"/>
      <c r="B362" s="35"/>
      <c r="C362" s="36">
        <v>46087.403425925928</v>
      </c>
      <c r="D362" s="35" t="s">
        <v>362</v>
      </c>
      <c r="E362" s="35" t="s">
        <v>95</v>
      </c>
      <c r="F362" s="35">
        <v>0</v>
      </c>
      <c r="G362" s="35" t="s">
        <v>710</v>
      </c>
      <c r="H362" s="35"/>
      <c r="I362" s="35"/>
      <c r="J362" s="35"/>
      <c r="K362" s="35"/>
      <c r="L362" s="35"/>
      <c r="M362" s="35"/>
    </row>
    <row r="363" spans="1:13" x14ac:dyDescent="0.3">
      <c r="A363" s="35"/>
      <c r="B363" s="35"/>
      <c r="C363" s="36">
        <v>46087.403437499997</v>
      </c>
      <c r="D363" s="35" t="s">
        <v>362</v>
      </c>
      <c r="E363" s="35" t="s">
        <v>95</v>
      </c>
      <c r="F363" s="35">
        <v>0</v>
      </c>
      <c r="G363" s="35" t="s">
        <v>711</v>
      </c>
      <c r="H363" s="35"/>
      <c r="I363" s="35"/>
      <c r="J363" s="35"/>
      <c r="K363" s="35"/>
      <c r="L363" s="35"/>
      <c r="M363" s="35"/>
    </row>
    <row r="364" spans="1:13" x14ac:dyDescent="0.3">
      <c r="A364" s="35"/>
      <c r="B364" s="35"/>
      <c r="C364" s="36">
        <v>46087.403483796297</v>
      </c>
      <c r="D364" s="35" t="s">
        <v>362</v>
      </c>
      <c r="E364" s="35" t="s">
        <v>95</v>
      </c>
      <c r="F364" s="35">
        <v>0</v>
      </c>
      <c r="G364" s="35" t="s">
        <v>712</v>
      </c>
      <c r="H364" s="35"/>
      <c r="I364" s="35"/>
      <c r="J364" s="35"/>
      <c r="K364" s="35"/>
      <c r="L364" s="35"/>
      <c r="M364" s="35"/>
    </row>
    <row r="365" spans="1:13" x14ac:dyDescent="0.3">
      <c r="A365" s="35"/>
      <c r="B365" s="35"/>
      <c r="C365" s="36">
        <v>46087.403599537036</v>
      </c>
      <c r="D365" s="35" t="s">
        <v>362</v>
      </c>
      <c r="E365" s="35" t="s">
        <v>95</v>
      </c>
      <c r="F365" s="35">
        <v>0</v>
      </c>
      <c r="G365" s="35" t="s">
        <v>713</v>
      </c>
      <c r="H365" s="35"/>
      <c r="I365" s="35"/>
      <c r="J365" s="35"/>
      <c r="K365" s="35"/>
      <c r="L365" s="35"/>
      <c r="M365" s="35"/>
    </row>
    <row r="366" spans="1:13" x14ac:dyDescent="0.3">
      <c r="A366" s="35"/>
      <c r="B366" s="35"/>
      <c r="C366" s="36">
        <v>46087.403622685182</v>
      </c>
      <c r="D366" s="35" t="s">
        <v>362</v>
      </c>
      <c r="E366" s="35" t="s">
        <v>95</v>
      </c>
      <c r="F366" s="35">
        <v>0</v>
      </c>
      <c r="G366" s="35" t="s">
        <v>714</v>
      </c>
      <c r="H366" s="35"/>
      <c r="I366" s="35"/>
      <c r="J366" s="35"/>
      <c r="K366" s="35"/>
      <c r="L366" s="35"/>
      <c r="M366" s="35"/>
    </row>
    <row r="367" spans="1:13" x14ac:dyDescent="0.3">
      <c r="A367" s="35"/>
      <c r="B367" s="35"/>
      <c r="C367" s="36">
        <v>46087.403807870367</v>
      </c>
      <c r="D367" s="35" t="s">
        <v>362</v>
      </c>
      <c r="E367" s="35" t="s">
        <v>95</v>
      </c>
      <c r="F367" s="35">
        <v>0</v>
      </c>
      <c r="G367" s="35" t="s">
        <v>715</v>
      </c>
      <c r="H367" s="35"/>
      <c r="I367" s="35"/>
      <c r="J367" s="35"/>
      <c r="K367" s="35"/>
      <c r="L367" s="35"/>
      <c r="M367" s="35"/>
    </row>
    <row r="368" spans="1:13" x14ac:dyDescent="0.3">
      <c r="A368" s="35"/>
      <c r="B368" s="35"/>
      <c r="C368" s="36">
        <v>46087.403935185182</v>
      </c>
      <c r="D368" s="35" t="s">
        <v>362</v>
      </c>
      <c r="E368" s="35" t="s">
        <v>95</v>
      </c>
      <c r="F368" s="35">
        <v>0</v>
      </c>
      <c r="G368" s="35" t="s">
        <v>716</v>
      </c>
      <c r="H368" s="35"/>
      <c r="I368" s="35"/>
      <c r="J368" s="35"/>
      <c r="K368" s="35"/>
      <c r="L368" s="35"/>
      <c r="M368" s="35"/>
    </row>
    <row r="369" spans="1:13" x14ac:dyDescent="0.3">
      <c r="A369" s="35"/>
      <c r="B369" s="35"/>
      <c r="C369" s="36">
        <v>46087.404143518521</v>
      </c>
      <c r="D369" s="35" t="s">
        <v>350</v>
      </c>
      <c r="E369" s="35" t="s">
        <v>95</v>
      </c>
      <c r="F369" s="35">
        <v>0</v>
      </c>
      <c r="G369" s="35" t="s">
        <v>679</v>
      </c>
      <c r="H369" s="35"/>
      <c r="I369" s="35"/>
      <c r="J369" s="35"/>
      <c r="K369" s="35"/>
      <c r="L369" s="35"/>
      <c r="M369" s="35"/>
    </row>
    <row r="370" spans="1:13" x14ac:dyDescent="0.3">
      <c r="A370" s="35"/>
      <c r="B370" s="35"/>
      <c r="C370" s="36">
        <v>46087.404398148145</v>
      </c>
      <c r="D370" s="35" t="s">
        <v>362</v>
      </c>
      <c r="E370" s="35" t="s">
        <v>95</v>
      </c>
      <c r="F370" s="35">
        <v>0</v>
      </c>
      <c r="G370" s="35" t="s">
        <v>717</v>
      </c>
      <c r="H370" s="35"/>
      <c r="I370" s="35"/>
      <c r="J370" s="35"/>
      <c r="K370" s="35"/>
      <c r="L370" s="35"/>
      <c r="M370" s="35"/>
    </row>
    <row r="371" spans="1:13" x14ac:dyDescent="0.3">
      <c r="A371" s="35"/>
      <c r="B371" s="35"/>
      <c r="C371" s="36">
        <v>46087.404479166667</v>
      </c>
      <c r="D371" s="35" t="s">
        <v>362</v>
      </c>
      <c r="E371" s="35" t="s">
        <v>95</v>
      </c>
      <c r="F371" s="35">
        <v>0</v>
      </c>
      <c r="G371" s="35" t="s">
        <v>718</v>
      </c>
      <c r="H371" s="35"/>
      <c r="I371" s="35"/>
      <c r="J371" s="35"/>
      <c r="K371" s="35"/>
      <c r="L371" s="35"/>
      <c r="M371" s="35"/>
    </row>
    <row r="372" spans="1:13" x14ac:dyDescent="0.3">
      <c r="A372" s="35"/>
      <c r="B372" s="35"/>
      <c r="C372" s="36">
        <v>46087.404861111114</v>
      </c>
      <c r="D372" s="35" t="s">
        <v>362</v>
      </c>
      <c r="E372" s="35" t="s">
        <v>95</v>
      </c>
      <c r="F372" s="35">
        <v>0</v>
      </c>
      <c r="G372" s="35" t="s">
        <v>719</v>
      </c>
      <c r="H372" s="35"/>
      <c r="I372" s="35"/>
      <c r="J372" s="35"/>
      <c r="K372" s="35"/>
      <c r="L372" s="35"/>
      <c r="M372" s="35"/>
    </row>
    <row r="373" spans="1:13" x14ac:dyDescent="0.3">
      <c r="A373" s="35"/>
      <c r="B373" s="35"/>
      <c r="C373" s="36">
        <v>46087.40488425926</v>
      </c>
      <c r="D373" s="35" t="s">
        <v>362</v>
      </c>
      <c r="E373" s="35" t="s">
        <v>95</v>
      </c>
      <c r="F373" s="35">
        <v>0</v>
      </c>
      <c r="G373" s="35" t="s">
        <v>720</v>
      </c>
      <c r="H373" s="35"/>
      <c r="I373" s="35"/>
      <c r="J373" s="35"/>
      <c r="K373" s="35"/>
      <c r="L373" s="35"/>
      <c r="M373" s="35"/>
    </row>
    <row r="374" spans="1:13" x14ac:dyDescent="0.3">
      <c r="A374" s="35"/>
      <c r="B374" s="35"/>
      <c r="C374" s="36">
        <v>46087.404918981483</v>
      </c>
      <c r="D374" s="35" t="s">
        <v>362</v>
      </c>
      <c r="E374" s="35" t="s">
        <v>95</v>
      </c>
      <c r="F374" s="35">
        <v>0</v>
      </c>
      <c r="G374" s="35" t="s">
        <v>721</v>
      </c>
      <c r="H374" s="35"/>
      <c r="I374" s="35"/>
      <c r="J374" s="35"/>
      <c r="K374" s="35"/>
      <c r="L374" s="35"/>
      <c r="M374" s="35"/>
    </row>
    <row r="375" spans="1:13" x14ac:dyDescent="0.3">
      <c r="A375" s="35"/>
      <c r="B375" s="35"/>
      <c r="C375" s="36">
        <v>46087.405138888891</v>
      </c>
      <c r="D375" s="35" t="s">
        <v>362</v>
      </c>
      <c r="E375" s="35" t="s">
        <v>95</v>
      </c>
      <c r="F375" s="35">
        <v>0</v>
      </c>
      <c r="G375" s="35" t="s">
        <v>722</v>
      </c>
      <c r="H375" s="35"/>
      <c r="I375" s="35"/>
      <c r="J375" s="35"/>
      <c r="K375" s="35"/>
      <c r="L375" s="35"/>
      <c r="M375" s="35"/>
    </row>
    <row r="376" spans="1:13" x14ac:dyDescent="0.3">
      <c r="A376" s="35"/>
      <c r="B376" s="35"/>
      <c r="C376" s="36">
        <v>46087.405150462961</v>
      </c>
      <c r="D376" s="35" t="s">
        <v>362</v>
      </c>
      <c r="E376" s="35" t="s">
        <v>95</v>
      </c>
      <c r="F376" s="35">
        <v>0</v>
      </c>
      <c r="G376" s="35" t="s">
        <v>723</v>
      </c>
      <c r="H376" s="35"/>
      <c r="I376" s="35"/>
      <c r="J376" s="35"/>
      <c r="K376" s="35"/>
      <c r="L376" s="35"/>
      <c r="M376" s="35"/>
    </row>
    <row r="377" spans="1:13" x14ac:dyDescent="0.3">
      <c r="A377" s="35"/>
      <c r="B377" s="35"/>
      <c r="C377" s="36">
        <v>46087.405300925922</v>
      </c>
      <c r="D377" s="35" t="s">
        <v>350</v>
      </c>
      <c r="E377" s="35" t="s">
        <v>95</v>
      </c>
      <c r="F377" s="35">
        <v>0</v>
      </c>
      <c r="G377" s="35" t="s">
        <v>724</v>
      </c>
      <c r="H377" s="35"/>
      <c r="I377" s="35"/>
      <c r="J377" s="35"/>
      <c r="K377" s="35"/>
      <c r="L377" s="35"/>
      <c r="M377" s="35"/>
    </row>
    <row r="378" spans="1:13" x14ac:dyDescent="0.3">
      <c r="A378" s="35"/>
      <c r="B378" s="35"/>
      <c r="C378" s="36">
        <v>46087.405555555553</v>
      </c>
      <c r="D378" s="35" t="s">
        <v>362</v>
      </c>
      <c r="E378" s="35" t="s">
        <v>95</v>
      </c>
      <c r="F378" s="35">
        <v>0</v>
      </c>
      <c r="G378" s="35" t="s">
        <v>725</v>
      </c>
      <c r="H378" s="35"/>
      <c r="I378" s="35"/>
      <c r="J378" s="35"/>
      <c r="K378" s="35"/>
      <c r="L378" s="35"/>
      <c r="M378" s="35"/>
    </row>
    <row r="379" spans="1:13" x14ac:dyDescent="0.3">
      <c r="A379" s="35"/>
      <c r="B379" s="35"/>
      <c r="C379" s="36">
        <v>46087.405590277776</v>
      </c>
      <c r="D379" s="35" t="s">
        <v>362</v>
      </c>
      <c r="E379" s="35" t="s">
        <v>95</v>
      </c>
      <c r="F379" s="35">
        <v>0</v>
      </c>
      <c r="G379" s="35" t="s">
        <v>726</v>
      </c>
      <c r="H379" s="35"/>
      <c r="I379" s="35"/>
      <c r="J379" s="35"/>
      <c r="K379" s="35"/>
      <c r="L379" s="35"/>
      <c r="M379" s="35"/>
    </row>
    <row r="380" spans="1:13" x14ac:dyDescent="0.3">
      <c r="A380" s="35"/>
      <c r="B380" s="35"/>
      <c r="C380" s="36">
        <v>46087.40625</v>
      </c>
      <c r="D380" s="35" t="s">
        <v>362</v>
      </c>
      <c r="E380" s="35" t="s">
        <v>95</v>
      </c>
      <c r="F380" s="35">
        <v>0</v>
      </c>
      <c r="G380" s="35" t="s">
        <v>727</v>
      </c>
      <c r="H380" s="35"/>
      <c r="I380" s="35"/>
      <c r="J380" s="35"/>
      <c r="K380" s="35"/>
      <c r="L380" s="35"/>
      <c r="M380" s="35"/>
    </row>
    <row r="381" spans="1:13" x14ac:dyDescent="0.3">
      <c r="A381" s="35"/>
      <c r="B381" s="35"/>
      <c r="C381" s="36">
        <v>46087.406689814816</v>
      </c>
      <c r="D381" s="35" t="s">
        <v>350</v>
      </c>
      <c r="E381" s="35" t="s">
        <v>95</v>
      </c>
      <c r="F381" s="35">
        <v>0</v>
      </c>
      <c r="G381" s="35" t="s">
        <v>728</v>
      </c>
      <c r="H381" s="35"/>
      <c r="I381" s="35"/>
      <c r="J381" s="35"/>
      <c r="K381" s="35"/>
      <c r="L381" s="35"/>
      <c r="M381" s="35"/>
    </row>
    <row r="382" spans="1:13" x14ac:dyDescent="0.3">
      <c r="A382" s="35"/>
      <c r="B382" s="35"/>
      <c r="C382" s="36">
        <v>46087.406793981485</v>
      </c>
      <c r="D382" s="35" t="s">
        <v>362</v>
      </c>
      <c r="E382" s="35" t="s">
        <v>95</v>
      </c>
      <c r="F382" s="35">
        <v>0</v>
      </c>
      <c r="G382" s="35" t="s">
        <v>726</v>
      </c>
      <c r="H382" s="35"/>
      <c r="I382" s="35"/>
      <c r="J382" s="35"/>
      <c r="K382" s="35"/>
      <c r="L382" s="35"/>
      <c r="M382" s="35"/>
    </row>
    <row r="383" spans="1:13" x14ac:dyDescent="0.3">
      <c r="A383" s="35"/>
      <c r="B383" s="35"/>
      <c r="C383" s="36">
        <v>46087.406851851854</v>
      </c>
      <c r="D383" s="35" t="s">
        <v>362</v>
      </c>
      <c r="E383" s="35" t="s">
        <v>95</v>
      </c>
      <c r="F383" s="35">
        <v>0</v>
      </c>
      <c r="G383" s="35" t="s">
        <v>729</v>
      </c>
      <c r="H383" s="35"/>
      <c r="I383" s="35"/>
      <c r="J383" s="35"/>
      <c r="K383" s="35"/>
      <c r="L383" s="35"/>
      <c r="M383" s="35"/>
    </row>
    <row r="384" spans="1:13" x14ac:dyDescent="0.3">
      <c r="A384" s="35"/>
      <c r="B384" s="35"/>
      <c r="C384" s="36">
        <v>46087.407905092594</v>
      </c>
      <c r="D384" s="35" t="s">
        <v>362</v>
      </c>
      <c r="E384" s="35" t="s">
        <v>95</v>
      </c>
      <c r="F384" s="35">
        <v>0</v>
      </c>
      <c r="G384" s="35" t="s">
        <v>730</v>
      </c>
      <c r="H384" s="35"/>
      <c r="I384" s="35"/>
      <c r="J384" s="35"/>
      <c r="K384" s="35"/>
      <c r="L384" s="35"/>
      <c r="M384" s="35"/>
    </row>
    <row r="385" spans="1:13" x14ac:dyDescent="0.3">
      <c r="A385" s="35"/>
      <c r="B385" s="35"/>
      <c r="C385" s="36">
        <v>46087.408009259256</v>
      </c>
      <c r="D385" s="35" t="s">
        <v>362</v>
      </c>
      <c r="E385" s="35" t="s">
        <v>95</v>
      </c>
      <c r="F385" s="35">
        <v>0</v>
      </c>
      <c r="G385" s="35" t="s">
        <v>731</v>
      </c>
      <c r="H385" s="35"/>
      <c r="I385" s="35"/>
      <c r="J385" s="35"/>
      <c r="K385" s="35"/>
      <c r="L385" s="35"/>
      <c r="M385" s="35"/>
    </row>
    <row r="386" spans="1:13" x14ac:dyDescent="0.3">
      <c r="A386" s="35"/>
      <c r="B386" s="35"/>
      <c r="C386" s="36">
        <v>46087.408067129632</v>
      </c>
      <c r="D386" s="35" t="s">
        <v>362</v>
      </c>
      <c r="E386" s="35" t="s">
        <v>95</v>
      </c>
      <c r="F386" s="35">
        <v>0</v>
      </c>
      <c r="G386" s="35" t="s">
        <v>732</v>
      </c>
      <c r="H386" s="35"/>
      <c r="I386" s="35"/>
      <c r="J386" s="35"/>
      <c r="K386" s="35"/>
      <c r="L386" s="35"/>
      <c r="M386" s="35"/>
    </row>
    <row r="387" spans="1:13" x14ac:dyDescent="0.3">
      <c r="A387" s="35"/>
      <c r="B387" s="35"/>
      <c r="C387" s="36">
        <v>46087.408148148148</v>
      </c>
      <c r="D387" s="35" t="s">
        <v>362</v>
      </c>
      <c r="E387" s="35" t="s">
        <v>95</v>
      </c>
      <c r="F387" s="35">
        <v>0</v>
      </c>
      <c r="G387" s="35" t="s">
        <v>733</v>
      </c>
      <c r="H387" s="35"/>
      <c r="I387" s="35"/>
      <c r="J387" s="35"/>
      <c r="K387" s="35"/>
      <c r="L387" s="35"/>
      <c r="M387" s="35"/>
    </row>
    <row r="388" spans="1:13" x14ac:dyDescent="0.3">
      <c r="A388" s="35"/>
      <c r="B388" s="35"/>
      <c r="C388" s="36">
        <v>46087.408310185187</v>
      </c>
      <c r="D388" s="35" t="s">
        <v>362</v>
      </c>
      <c r="E388" s="35" t="s">
        <v>95</v>
      </c>
      <c r="F388" s="35">
        <v>0</v>
      </c>
      <c r="G388" s="35" t="s">
        <v>734</v>
      </c>
      <c r="H388" s="35"/>
      <c r="I388" s="35"/>
      <c r="J388" s="35"/>
      <c r="K388" s="35"/>
      <c r="L388" s="35"/>
      <c r="M388" s="35"/>
    </row>
    <row r="389" spans="1:13" x14ac:dyDescent="0.3">
      <c r="A389" s="35"/>
      <c r="B389" s="35"/>
      <c r="C389" s="36">
        <v>46087.408750000002</v>
      </c>
      <c r="D389" s="35" t="s">
        <v>362</v>
      </c>
      <c r="E389" s="35" t="s">
        <v>95</v>
      </c>
      <c r="F389" s="35">
        <v>0</v>
      </c>
      <c r="G389" s="35" t="s">
        <v>735</v>
      </c>
      <c r="H389" s="35"/>
      <c r="I389" s="35"/>
      <c r="J389" s="35"/>
      <c r="K389" s="35"/>
      <c r="L389" s="35"/>
      <c r="M389" s="35"/>
    </row>
    <row r="390" spans="1:13" x14ac:dyDescent="0.3">
      <c r="A390" s="35"/>
      <c r="B390" s="35"/>
      <c r="C390" s="36">
        <v>46087.408773148149</v>
      </c>
      <c r="D390" s="35" t="s">
        <v>350</v>
      </c>
      <c r="E390" s="35" t="s">
        <v>95</v>
      </c>
      <c r="F390" s="35">
        <v>0</v>
      </c>
      <c r="G390" s="35" t="s">
        <v>736</v>
      </c>
      <c r="H390" s="35"/>
      <c r="I390" s="35"/>
      <c r="J390" s="35"/>
      <c r="K390" s="35"/>
      <c r="L390" s="35"/>
      <c r="M390" s="35"/>
    </row>
    <row r="391" spans="1:13" x14ac:dyDescent="0.3">
      <c r="A391" s="35"/>
      <c r="B391" s="35"/>
      <c r="C391" s="35"/>
      <c r="D391" s="35" t="s">
        <v>362</v>
      </c>
      <c r="E391" s="35" t="s">
        <v>95</v>
      </c>
      <c r="F391" s="35">
        <v>0</v>
      </c>
      <c r="G391" s="35" t="s">
        <v>737</v>
      </c>
      <c r="H391" s="35"/>
      <c r="I391" s="35"/>
      <c r="J391" s="35"/>
      <c r="K391" s="35"/>
      <c r="L391" s="35"/>
      <c r="M391" s="35"/>
    </row>
    <row r="392" spans="1:13" x14ac:dyDescent="0.3">
      <c r="A392" s="35"/>
      <c r="B392" s="35"/>
      <c r="C392" s="36">
        <v>46087.409166666665</v>
      </c>
      <c r="D392" s="35" t="s">
        <v>362</v>
      </c>
      <c r="E392" s="35" t="s">
        <v>95</v>
      </c>
      <c r="F392" s="35">
        <v>0</v>
      </c>
      <c r="G392" s="35" t="s">
        <v>738</v>
      </c>
      <c r="H392" s="35"/>
      <c r="I392" s="35"/>
      <c r="J392" s="35"/>
      <c r="K392" s="35"/>
      <c r="L392" s="35"/>
      <c r="M392" s="35"/>
    </row>
    <row r="393" spans="1:13" x14ac:dyDescent="0.3">
      <c r="A393" s="35"/>
      <c r="B393" s="35"/>
      <c r="C393" s="36">
        <v>46087.409189814818</v>
      </c>
      <c r="D393" s="35" t="s">
        <v>362</v>
      </c>
      <c r="E393" s="35" t="s">
        <v>95</v>
      </c>
      <c r="F393" s="35">
        <v>0</v>
      </c>
      <c r="G393" s="35" t="s">
        <v>739</v>
      </c>
      <c r="H393" s="35"/>
      <c r="I393" s="35"/>
      <c r="J393" s="35"/>
      <c r="K393" s="35"/>
      <c r="L393" s="35"/>
      <c r="M393" s="35"/>
    </row>
    <row r="394" spans="1:13" x14ac:dyDescent="0.3">
      <c r="A394" s="35"/>
      <c r="B394" s="35"/>
      <c r="C394" s="36">
        <v>46087.409259259257</v>
      </c>
      <c r="D394" s="35" t="s">
        <v>357</v>
      </c>
      <c r="E394" s="35" t="s">
        <v>95</v>
      </c>
      <c r="F394" s="35">
        <v>0</v>
      </c>
      <c r="G394" s="35" t="s">
        <v>740</v>
      </c>
      <c r="H394" s="35"/>
      <c r="I394" s="35"/>
      <c r="J394" s="35"/>
      <c r="K394" s="35"/>
      <c r="L394" s="35"/>
      <c r="M394" s="35"/>
    </row>
    <row r="395" spans="1:13" x14ac:dyDescent="0.3">
      <c r="A395" s="35"/>
      <c r="B395" s="35"/>
      <c r="C395" s="36">
        <v>46087.409490740742</v>
      </c>
      <c r="D395" s="35" t="s">
        <v>362</v>
      </c>
      <c r="E395" s="35" t="s">
        <v>95</v>
      </c>
      <c r="F395" s="35">
        <v>0</v>
      </c>
      <c r="G395" s="35" t="s">
        <v>741</v>
      </c>
      <c r="H395" s="35"/>
      <c r="I395" s="35"/>
      <c r="J395" s="35"/>
      <c r="K395" s="35"/>
      <c r="L395" s="35"/>
      <c r="M395" s="35"/>
    </row>
    <row r="396" spans="1:13" x14ac:dyDescent="0.3">
      <c r="A396" s="35"/>
      <c r="B396" s="35"/>
      <c r="C396" s="36">
        <v>46087.409560185188</v>
      </c>
      <c r="D396" s="35" t="s">
        <v>362</v>
      </c>
      <c r="E396" s="35" t="s">
        <v>95</v>
      </c>
      <c r="F396" s="35">
        <v>0</v>
      </c>
      <c r="G396" s="35" t="s">
        <v>742</v>
      </c>
      <c r="H396" s="35"/>
      <c r="I396" s="35"/>
      <c r="J396" s="35"/>
      <c r="K396" s="35"/>
      <c r="L396" s="35"/>
      <c r="M396" s="35"/>
    </row>
    <row r="397" spans="1:13" x14ac:dyDescent="0.3">
      <c r="A397" s="35"/>
      <c r="B397" s="35"/>
      <c r="C397" s="36">
        <v>46087.40966435185</v>
      </c>
      <c r="D397" s="35" t="s">
        <v>362</v>
      </c>
      <c r="E397" s="35" t="s">
        <v>95</v>
      </c>
      <c r="F397" s="35">
        <v>0</v>
      </c>
      <c r="G397" s="35" t="s">
        <v>743</v>
      </c>
      <c r="H397" s="35"/>
      <c r="I397" s="35"/>
      <c r="J397" s="35"/>
      <c r="K397" s="35"/>
      <c r="L397" s="35"/>
      <c r="M397" s="35"/>
    </row>
    <row r="398" spans="1:13" x14ac:dyDescent="0.3">
      <c r="A398" s="35"/>
      <c r="B398" s="35"/>
      <c r="C398" s="36">
        <v>46087.409837962965</v>
      </c>
      <c r="D398" s="35" t="s">
        <v>362</v>
      </c>
      <c r="E398" s="35" t="s">
        <v>95</v>
      </c>
      <c r="F398" s="35">
        <v>0</v>
      </c>
      <c r="G398" s="35" t="s">
        <v>744</v>
      </c>
      <c r="H398" s="35"/>
      <c r="I398" s="35"/>
      <c r="J398" s="35"/>
      <c r="K398" s="35"/>
      <c r="L398" s="35"/>
      <c r="M398" s="35"/>
    </row>
    <row r="399" spans="1:13" x14ac:dyDescent="0.3">
      <c r="A399" s="35"/>
      <c r="B399" s="35"/>
      <c r="C399" s="36">
        <v>46087.40997685185</v>
      </c>
      <c r="D399" s="35" t="s">
        <v>362</v>
      </c>
      <c r="E399" s="35" t="s">
        <v>95</v>
      </c>
      <c r="F399" s="35">
        <v>0</v>
      </c>
      <c r="G399" s="35" t="s">
        <v>745</v>
      </c>
      <c r="H399" s="35"/>
      <c r="I399" s="35"/>
      <c r="J399" s="35"/>
      <c r="K399" s="35"/>
      <c r="L399" s="35"/>
      <c r="M399" s="35"/>
    </row>
    <row r="400" spans="1:13" x14ac:dyDescent="0.3">
      <c r="A400" s="35"/>
      <c r="B400" s="35"/>
      <c r="C400" s="36">
        <v>46087.410069444442</v>
      </c>
      <c r="D400" s="35" t="s">
        <v>362</v>
      </c>
      <c r="E400" s="35" t="s">
        <v>95</v>
      </c>
      <c r="F400" s="35">
        <v>0</v>
      </c>
      <c r="G400" s="35" t="s">
        <v>746</v>
      </c>
      <c r="H400" s="35"/>
      <c r="I400" s="35"/>
      <c r="J400" s="35"/>
      <c r="K400" s="35"/>
      <c r="L400" s="35"/>
      <c r="M400" s="35"/>
    </row>
    <row r="401" spans="1:13" x14ac:dyDescent="0.3">
      <c r="A401" s="35"/>
      <c r="B401" s="35"/>
      <c r="C401" s="36">
        <v>46087.410127314812</v>
      </c>
      <c r="D401" s="35" t="s">
        <v>362</v>
      </c>
      <c r="E401" s="35" t="s">
        <v>95</v>
      </c>
      <c r="F401" s="35">
        <v>0</v>
      </c>
      <c r="G401" s="35" t="s">
        <v>747</v>
      </c>
      <c r="H401" s="35"/>
      <c r="I401" s="35"/>
      <c r="J401" s="35"/>
      <c r="K401" s="35"/>
      <c r="L401" s="35"/>
      <c r="M401" s="35"/>
    </row>
    <row r="402" spans="1:13" x14ac:dyDescent="0.3">
      <c r="A402" s="35"/>
      <c r="B402" s="35"/>
      <c r="C402" s="36">
        <v>46087.410416666666</v>
      </c>
      <c r="D402" s="35" t="s">
        <v>362</v>
      </c>
      <c r="E402" s="35" t="s">
        <v>95</v>
      </c>
      <c r="F402" s="35">
        <v>0</v>
      </c>
      <c r="G402" s="35" t="s">
        <v>748</v>
      </c>
      <c r="H402" s="35"/>
      <c r="I402" s="35"/>
      <c r="J402" s="35"/>
      <c r="K402" s="35"/>
      <c r="L402" s="35"/>
      <c r="M402" s="35"/>
    </row>
    <row r="403" spans="1:13" x14ac:dyDescent="0.3">
      <c r="A403" s="35"/>
      <c r="B403" s="35"/>
      <c r="C403" s="36">
        <v>46087.410520833335</v>
      </c>
      <c r="D403" s="35" t="s">
        <v>362</v>
      </c>
      <c r="E403" s="35" t="s">
        <v>95</v>
      </c>
      <c r="F403" s="35">
        <v>0</v>
      </c>
      <c r="G403" s="35" t="s">
        <v>749</v>
      </c>
      <c r="H403" s="35"/>
      <c r="I403" s="35"/>
      <c r="J403" s="35"/>
      <c r="K403" s="35"/>
      <c r="L403" s="35"/>
      <c r="M403" s="35"/>
    </row>
    <row r="404" spans="1:13" x14ac:dyDescent="0.3">
      <c r="A404" s="35"/>
      <c r="B404" s="35"/>
      <c r="C404" s="36">
        <v>46087.41070601852</v>
      </c>
      <c r="D404" s="35" t="s">
        <v>362</v>
      </c>
      <c r="E404" s="35" t="s">
        <v>95</v>
      </c>
      <c r="F404" s="35">
        <v>0</v>
      </c>
      <c r="G404" s="35" t="s">
        <v>750</v>
      </c>
      <c r="H404" s="35"/>
      <c r="I404" s="35"/>
      <c r="J404" s="35"/>
      <c r="K404" s="35"/>
      <c r="L404" s="35"/>
      <c r="M404" s="35"/>
    </row>
    <row r="405" spans="1:13" x14ac:dyDescent="0.3">
      <c r="A405" s="35"/>
      <c r="B405" s="35"/>
      <c r="C405" s="36">
        <v>46087.410740740743</v>
      </c>
      <c r="D405" s="35" t="s">
        <v>362</v>
      </c>
      <c r="E405" s="35" t="s">
        <v>95</v>
      </c>
      <c r="F405" s="35">
        <v>0</v>
      </c>
      <c r="G405" s="35" t="s">
        <v>751</v>
      </c>
      <c r="H405" s="35"/>
      <c r="I405" s="35"/>
      <c r="J405" s="35"/>
      <c r="K405" s="35"/>
      <c r="L405" s="35"/>
      <c r="M405" s="35"/>
    </row>
    <row r="406" spans="1:13" x14ac:dyDescent="0.3">
      <c r="A406" s="35"/>
      <c r="B406" s="35"/>
      <c r="C406" s="36">
        <v>46087.410798611112</v>
      </c>
      <c r="D406" s="35" t="s">
        <v>362</v>
      </c>
      <c r="E406" s="35" t="s">
        <v>95</v>
      </c>
      <c r="F406" s="35">
        <v>0</v>
      </c>
      <c r="G406" s="35" t="s">
        <v>752</v>
      </c>
      <c r="H406" s="35"/>
      <c r="I406" s="35"/>
      <c r="J406" s="35"/>
      <c r="K406" s="35"/>
      <c r="L406" s="35"/>
      <c r="M406" s="35"/>
    </row>
    <row r="407" spans="1:13" x14ac:dyDescent="0.3">
      <c r="A407" s="35"/>
      <c r="B407" s="35"/>
      <c r="C407" s="36">
        <v>46087.410868055558</v>
      </c>
      <c r="D407" s="35" t="s">
        <v>350</v>
      </c>
      <c r="E407" s="35" t="s">
        <v>95</v>
      </c>
      <c r="F407" s="35">
        <v>0</v>
      </c>
      <c r="G407" s="35" t="s">
        <v>753</v>
      </c>
      <c r="H407" s="35"/>
      <c r="I407" s="35"/>
      <c r="J407" s="35"/>
      <c r="K407" s="35"/>
      <c r="L407" s="35"/>
      <c r="M407" s="35"/>
    </row>
    <row r="408" spans="1:13" x14ac:dyDescent="0.3">
      <c r="A408" s="35"/>
      <c r="B408" s="35"/>
      <c r="C408" s="36">
        <v>46087.411087962966</v>
      </c>
      <c r="D408" s="35" t="s">
        <v>362</v>
      </c>
      <c r="E408" s="35" t="s">
        <v>95</v>
      </c>
      <c r="F408" s="35">
        <v>0</v>
      </c>
      <c r="G408" s="35" t="s">
        <v>754</v>
      </c>
      <c r="H408" s="35"/>
      <c r="I408" s="35"/>
      <c r="J408" s="35"/>
      <c r="K408" s="35"/>
      <c r="L408" s="35"/>
      <c r="M408" s="35"/>
    </row>
    <row r="409" spans="1:13" x14ac:dyDescent="0.3">
      <c r="A409" s="35"/>
      <c r="B409" s="35"/>
      <c r="C409" s="36">
        <v>46087.411122685182</v>
      </c>
      <c r="D409" s="35" t="s">
        <v>362</v>
      </c>
      <c r="E409" s="35" t="s">
        <v>95</v>
      </c>
      <c r="F409" s="35">
        <v>0</v>
      </c>
      <c r="G409" s="35" t="s">
        <v>755</v>
      </c>
      <c r="H409" s="35"/>
      <c r="I409" s="35"/>
      <c r="J409" s="35"/>
      <c r="K409" s="35"/>
      <c r="L409" s="35"/>
      <c r="M409" s="35"/>
    </row>
    <row r="410" spans="1:13" x14ac:dyDescent="0.3">
      <c r="A410" s="35"/>
      <c r="B410" s="35"/>
      <c r="C410" s="36">
        <v>46087.411203703705</v>
      </c>
      <c r="D410" s="35" t="s">
        <v>362</v>
      </c>
      <c r="E410" s="35" t="s">
        <v>95</v>
      </c>
      <c r="F410" s="35">
        <v>0</v>
      </c>
      <c r="G410" s="35" t="s">
        <v>756</v>
      </c>
      <c r="H410" s="35"/>
      <c r="I410" s="35"/>
      <c r="J410" s="35"/>
      <c r="K410" s="35"/>
      <c r="L410" s="35"/>
      <c r="M410" s="35"/>
    </row>
    <row r="411" spans="1:13" x14ac:dyDescent="0.3">
      <c r="A411" s="35"/>
      <c r="B411" s="35"/>
      <c r="C411" s="36">
        <v>46087.411296296297</v>
      </c>
      <c r="D411" s="35" t="s">
        <v>362</v>
      </c>
      <c r="E411" s="35" t="s">
        <v>95</v>
      </c>
      <c r="F411" s="35">
        <v>0</v>
      </c>
      <c r="G411" s="35" t="s">
        <v>757</v>
      </c>
      <c r="H411" s="35"/>
      <c r="I411" s="35"/>
      <c r="J411" s="35"/>
      <c r="K411" s="35"/>
      <c r="L411" s="35"/>
      <c r="M411" s="35"/>
    </row>
    <row r="412" spans="1:13" x14ac:dyDescent="0.3">
      <c r="A412" s="35"/>
      <c r="B412" s="35"/>
      <c r="C412" s="36">
        <v>46087.41133101852</v>
      </c>
      <c r="D412" s="35" t="s">
        <v>362</v>
      </c>
      <c r="E412" s="35" t="s">
        <v>95</v>
      </c>
      <c r="F412" s="35">
        <v>0</v>
      </c>
      <c r="G412" s="35" t="s">
        <v>758</v>
      </c>
      <c r="H412" s="35"/>
      <c r="I412" s="35"/>
      <c r="J412" s="35"/>
      <c r="K412" s="35"/>
      <c r="L412" s="35"/>
      <c r="M412" s="35"/>
    </row>
    <row r="413" spans="1:13" x14ac:dyDescent="0.3">
      <c r="A413" s="35"/>
      <c r="B413" s="35"/>
      <c r="C413" s="36">
        <v>46087.411354166667</v>
      </c>
      <c r="D413" s="35" t="s">
        <v>362</v>
      </c>
      <c r="E413" s="35" t="s">
        <v>95</v>
      </c>
      <c r="F413" s="35">
        <v>0</v>
      </c>
      <c r="G413" s="35" t="s">
        <v>759</v>
      </c>
      <c r="H413" s="35"/>
      <c r="I413" s="35"/>
      <c r="J413" s="35"/>
      <c r="K413" s="35"/>
      <c r="L413" s="35"/>
      <c r="M413" s="35"/>
    </row>
    <row r="414" spans="1:13" x14ac:dyDescent="0.3">
      <c r="A414" s="35"/>
      <c r="B414" s="35"/>
      <c r="C414" s="36">
        <v>46087.41196759259</v>
      </c>
      <c r="D414" s="35" t="s">
        <v>362</v>
      </c>
      <c r="E414" s="35" t="s">
        <v>95</v>
      </c>
      <c r="F414" s="35">
        <v>0</v>
      </c>
      <c r="G414" s="35" t="s">
        <v>760</v>
      </c>
      <c r="H414" s="35"/>
      <c r="I414" s="35"/>
      <c r="J414" s="35"/>
      <c r="K414" s="35"/>
      <c r="L414" s="35"/>
      <c r="M414" s="35"/>
    </row>
    <row r="415" spans="1:13" x14ac:dyDescent="0.3">
      <c r="A415" s="35"/>
      <c r="B415" s="35"/>
      <c r="C415" s="36">
        <v>46087.41202546296</v>
      </c>
      <c r="D415" s="35" t="s">
        <v>362</v>
      </c>
      <c r="E415" s="35" t="s">
        <v>95</v>
      </c>
      <c r="F415" s="35">
        <v>0</v>
      </c>
      <c r="G415" s="35" t="s">
        <v>761</v>
      </c>
      <c r="H415" s="35"/>
      <c r="I415" s="35"/>
      <c r="J415" s="35"/>
      <c r="K415" s="35"/>
      <c r="L415" s="35"/>
      <c r="M415" s="35"/>
    </row>
    <row r="416" spans="1:13" x14ac:dyDescent="0.3">
      <c r="A416" s="35"/>
      <c r="B416" s="35"/>
      <c r="C416" s="36">
        <v>46087.412407407406</v>
      </c>
      <c r="D416" s="35" t="s">
        <v>362</v>
      </c>
      <c r="E416" s="35" t="s">
        <v>95</v>
      </c>
      <c r="F416" s="35">
        <v>0</v>
      </c>
      <c r="G416" s="35" t="s">
        <v>762</v>
      </c>
      <c r="H416" s="35"/>
      <c r="I416" s="35"/>
      <c r="J416" s="35"/>
      <c r="K416" s="35"/>
      <c r="L416" s="35"/>
      <c r="M416" s="35"/>
    </row>
    <row r="417" spans="1:13" x14ac:dyDescent="0.3">
      <c r="A417" s="35"/>
      <c r="B417" s="35"/>
      <c r="C417" s="36">
        <v>46087.412511574075</v>
      </c>
      <c r="D417" s="35" t="s">
        <v>362</v>
      </c>
      <c r="E417" s="35" t="s">
        <v>95</v>
      </c>
      <c r="F417" s="35">
        <v>0</v>
      </c>
      <c r="G417" s="35" t="s">
        <v>763</v>
      </c>
      <c r="H417" s="35"/>
      <c r="I417" s="35"/>
      <c r="J417" s="35"/>
      <c r="K417" s="35"/>
      <c r="L417" s="35"/>
      <c r="M417" s="35"/>
    </row>
    <row r="418" spans="1:13" x14ac:dyDescent="0.3">
      <c r="A418" s="35"/>
      <c r="B418" s="35"/>
      <c r="C418" s="36">
        <v>46087.412662037037</v>
      </c>
      <c r="D418" s="35" t="s">
        <v>362</v>
      </c>
      <c r="E418" s="35" t="s">
        <v>95</v>
      </c>
      <c r="F418" s="35">
        <v>0</v>
      </c>
      <c r="G418" s="35" t="s">
        <v>764</v>
      </c>
      <c r="H418" s="35"/>
      <c r="I418" s="35"/>
      <c r="J418" s="35"/>
      <c r="K418" s="35"/>
      <c r="L418" s="35"/>
      <c r="M418" s="35"/>
    </row>
    <row r="419" spans="1:13" x14ac:dyDescent="0.3">
      <c r="A419" s="35"/>
      <c r="B419" s="35"/>
      <c r="C419" s="36">
        <v>46087.412916666668</v>
      </c>
      <c r="D419" s="35" t="s">
        <v>362</v>
      </c>
      <c r="E419" s="35" t="s">
        <v>95</v>
      </c>
      <c r="F419" s="35">
        <v>0</v>
      </c>
      <c r="G419" s="35" t="s">
        <v>765</v>
      </c>
      <c r="H419" s="35"/>
      <c r="I419" s="35"/>
      <c r="J419" s="35"/>
      <c r="K419" s="35"/>
      <c r="L419" s="35"/>
      <c r="M419" s="35"/>
    </row>
    <row r="420" spans="1:13" x14ac:dyDescent="0.3">
      <c r="A420" s="35"/>
      <c r="B420" s="35"/>
      <c r="C420" s="36">
        <v>46087.412951388891</v>
      </c>
      <c r="D420" s="35" t="s">
        <v>362</v>
      </c>
      <c r="E420" s="35" t="s">
        <v>95</v>
      </c>
      <c r="F420" s="35">
        <v>0</v>
      </c>
      <c r="G420" s="35" t="s">
        <v>766</v>
      </c>
      <c r="H420" s="35"/>
      <c r="I420" s="35"/>
      <c r="J420" s="35"/>
      <c r="K420" s="35"/>
      <c r="L420" s="35"/>
      <c r="M420" s="35"/>
    </row>
    <row r="421" spans="1:13" x14ac:dyDescent="0.3">
      <c r="A421" s="35"/>
      <c r="B421" s="35"/>
      <c r="C421" s="36">
        <v>46087.41306712963</v>
      </c>
      <c r="D421" s="35" t="s">
        <v>362</v>
      </c>
      <c r="E421" s="35" t="s">
        <v>95</v>
      </c>
      <c r="F421" s="35">
        <v>0</v>
      </c>
      <c r="G421" s="35" t="s">
        <v>767</v>
      </c>
      <c r="H421" s="35"/>
      <c r="I421" s="35"/>
      <c r="J421" s="35"/>
      <c r="K421" s="35"/>
      <c r="L421" s="35"/>
      <c r="M421" s="35"/>
    </row>
    <row r="422" spans="1:13" x14ac:dyDescent="0.3">
      <c r="A422" s="35"/>
      <c r="B422" s="35"/>
      <c r="C422" s="36">
        <v>46087.413090277776</v>
      </c>
      <c r="D422" s="35" t="s">
        <v>362</v>
      </c>
      <c r="E422" s="35" t="s">
        <v>95</v>
      </c>
      <c r="F422" s="35">
        <v>0</v>
      </c>
      <c r="G422" s="35" t="s">
        <v>768</v>
      </c>
      <c r="H422" s="35"/>
      <c r="I422" s="35"/>
      <c r="J422" s="35"/>
      <c r="K422" s="35"/>
      <c r="L422" s="35"/>
      <c r="M422" s="35"/>
    </row>
    <row r="423" spans="1:13" x14ac:dyDescent="0.3">
      <c r="A423" s="35"/>
      <c r="B423" s="35"/>
      <c r="C423" s="36">
        <v>46087.413113425922</v>
      </c>
      <c r="D423" s="35" t="s">
        <v>362</v>
      </c>
      <c r="E423" s="35" t="s">
        <v>95</v>
      </c>
      <c r="F423" s="35">
        <v>0</v>
      </c>
      <c r="G423" s="35" t="s">
        <v>769</v>
      </c>
      <c r="H423" s="35"/>
      <c r="I423" s="35"/>
      <c r="J423" s="35"/>
      <c r="K423" s="35"/>
      <c r="L423" s="35"/>
      <c r="M423" s="35"/>
    </row>
    <row r="424" spans="1:13" x14ac:dyDescent="0.3">
      <c r="A424" s="35"/>
      <c r="B424" s="35"/>
      <c r="C424" s="36">
        <v>46087.413182870368</v>
      </c>
      <c r="D424" s="35" t="s">
        <v>350</v>
      </c>
      <c r="E424" s="35" t="s">
        <v>95</v>
      </c>
      <c r="F424" s="35">
        <v>0</v>
      </c>
      <c r="G424" s="35" t="s">
        <v>770</v>
      </c>
      <c r="H424" s="35"/>
      <c r="I424" s="35"/>
      <c r="J424" s="35"/>
      <c r="K424" s="35"/>
      <c r="L424" s="35"/>
      <c r="M424" s="35"/>
    </row>
    <row r="425" spans="1:13" x14ac:dyDescent="0.3">
      <c r="A425" s="35"/>
      <c r="B425" s="35"/>
      <c r="C425" s="36">
        <v>46087.413287037038</v>
      </c>
      <c r="D425" s="35" t="s">
        <v>362</v>
      </c>
      <c r="E425" s="35" t="s">
        <v>95</v>
      </c>
      <c r="F425" s="35">
        <v>0</v>
      </c>
      <c r="G425" s="35" t="s">
        <v>771</v>
      </c>
      <c r="H425" s="35"/>
      <c r="I425" s="35"/>
      <c r="J425" s="35"/>
      <c r="K425" s="35"/>
      <c r="L425" s="35"/>
      <c r="M425" s="35"/>
    </row>
    <row r="426" spans="1:13" x14ac:dyDescent="0.3">
      <c r="A426" s="35"/>
      <c r="B426" s="35"/>
      <c r="C426" s="36">
        <v>46087.413368055553</v>
      </c>
      <c r="D426" s="35" t="s">
        <v>362</v>
      </c>
      <c r="E426" s="35" t="s">
        <v>95</v>
      </c>
      <c r="F426" s="35">
        <v>0</v>
      </c>
      <c r="G426" s="35" t="s">
        <v>772</v>
      </c>
      <c r="H426" s="35"/>
      <c r="I426" s="35"/>
      <c r="J426" s="35"/>
      <c r="K426" s="35"/>
      <c r="L426" s="35"/>
      <c r="M426" s="35"/>
    </row>
    <row r="427" spans="1:13" x14ac:dyDescent="0.3">
      <c r="A427" s="35"/>
      <c r="B427" s="35"/>
      <c r="C427" s="36">
        <v>46087.413472222222</v>
      </c>
      <c r="D427" s="35" t="s">
        <v>362</v>
      </c>
      <c r="E427" s="35" t="s">
        <v>95</v>
      </c>
      <c r="F427" s="35">
        <v>0</v>
      </c>
      <c r="G427" s="35" t="s">
        <v>773</v>
      </c>
      <c r="H427" s="35"/>
      <c r="I427" s="35"/>
      <c r="J427" s="35"/>
      <c r="K427" s="35"/>
      <c r="L427" s="35"/>
      <c r="M427" s="35"/>
    </row>
    <row r="428" spans="1:13" x14ac:dyDescent="0.3">
      <c r="A428" s="35"/>
      <c r="B428" s="35"/>
      <c r="C428" s="36">
        <v>46087.413553240738</v>
      </c>
      <c r="D428" s="35" t="s">
        <v>362</v>
      </c>
      <c r="E428" s="35" t="s">
        <v>95</v>
      </c>
      <c r="F428" s="35">
        <v>0</v>
      </c>
      <c r="G428" s="35" t="s">
        <v>774</v>
      </c>
      <c r="H428" s="35"/>
      <c r="I428" s="35"/>
      <c r="J428" s="35"/>
      <c r="K428" s="35"/>
      <c r="L428" s="35"/>
      <c r="M428" s="35"/>
    </row>
    <row r="429" spans="1:13" x14ac:dyDescent="0.3">
      <c r="A429" s="35"/>
      <c r="B429" s="35"/>
      <c r="C429" s="36">
        <v>46087.41369212963</v>
      </c>
      <c r="D429" s="35" t="s">
        <v>362</v>
      </c>
      <c r="E429" s="35" t="s">
        <v>95</v>
      </c>
      <c r="F429" s="35">
        <v>0</v>
      </c>
      <c r="G429" s="35" t="s">
        <v>775</v>
      </c>
      <c r="H429" s="35"/>
      <c r="I429" s="35"/>
      <c r="J429" s="35"/>
      <c r="K429" s="35"/>
      <c r="L429" s="35"/>
      <c r="M429" s="35"/>
    </row>
    <row r="430" spans="1:13" x14ac:dyDescent="0.3">
      <c r="A430" s="35"/>
      <c r="B430" s="35"/>
      <c r="C430" s="36">
        <v>46087.413738425923</v>
      </c>
      <c r="D430" s="35" t="s">
        <v>362</v>
      </c>
      <c r="E430" s="35" t="s">
        <v>95</v>
      </c>
      <c r="F430" s="35">
        <v>0</v>
      </c>
      <c r="G430" s="35" t="s">
        <v>776</v>
      </c>
      <c r="H430" s="35"/>
      <c r="I430" s="35"/>
      <c r="J430" s="35"/>
      <c r="K430" s="35"/>
      <c r="L430" s="35"/>
      <c r="M430" s="35"/>
    </row>
    <row r="431" spans="1:13" x14ac:dyDescent="0.3">
      <c r="A431" s="35"/>
      <c r="B431" s="35"/>
      <c r="C431" s="36">
        <v>46087.4137962963</v>
      </c>
      <c r="D431" s="35" t="s">
        <v>362</v>
      </c>
      <c r="E431" s="35" t="s">
        <v>95</v>
      </c>
      <c r="F431" s="35">
        <v>0</v>
      </c>
      <c r="G431" s="35" t="s">
        <v>777</v>
      </c>
      <c r="H431" s="35"/>
      <c r="I431" s="35"/>
      <c r="J431" s="35"/>
      <c r="K431" s="35"/>
      <c r="L431" s="35"/>
      <c r="M431" s="35"/>
    </row>
    <row r="432" spans="1:13" x14ac:dyDescent="0.3">
      <c r="A432" s="35"/>
      <c r="B432" s="35"/>
      <c r="C432" s="36">
        <v>46087.414166666669</v>
      </c>
      <c r="D432" s="35" t="s">
        <v>362</v>
      </c>
      <c r="E432" s="35" t="s">
        <v>95</v>
      </c>
      <c r="F432" s="35">
        <v>0</v>
      </c>
      <c r="G432" s="35" t="s">
        <v>778</v>
      </c>
      <c r="H432" s="35"/>
      <c r="I432" s="35"/>
      <c r="J432" s="35"/>
      <c r="K432" s="35"/>
      <c r="L432" s="35"/>
      <c r="M432" s="35"/>
    </row>
    <row r="433" spans="1:13" x14ac:dyDescent="0.3">
      <c r="A433" s="35"/>
      <c r="B433" s="35"/>
      <c r="C433" s="36">
        <v>46087.414444444446</v>
      </c>
      <c r="D433" s="35" t="s">
        <v>362</v>
      </c>
      <c r="E433" s="35" t="s">
        <v>95</v>
      </c>
      <c r="F433" s="35">
        <v>0</v>
      </c>
      <c r="G433" s="35" t="s">
        <v>779</v>
      </c>
      <c r="H433" s="35"/>
      <c r="I433" s="35"/>
      <c r="J433" s="35"/>
      <c r="K433" s="35"/>
      <c r="L433" s="35"/>
      <c r="M433" s="35"/>
    </row>
    <row r="434" spans="1:13" x14ac:dyDescent="0.3">
      <c r="A434" s="35"/>
      <c r="B434" s="35"/>
      <c r="C434" s="36">
        <v>46087.414571759262</v>
      </c>
      <c r="D434" s="35" t="s">
        <v>362</v>
      </c>
      <c r="E434" s="35" t="s">
        <v>95</v>
      </c>
      <c r="F434" s="35">
        <v>0</v>
      </c>
      <c r="G434" s="35" t="s">
        <v>780</v>
      </c>
      <c r="H434" s="35"/>
      <c r="I434" s="35"/>
      <c r="J434" s="35"/>
      <c r="K434" s="35"/>
      <c r="L434" s="35"/>
      <c r="M434" s="35"/>
    </row>
    <row r="435" spans="1:13" x14ac:dyDescent="0.3">
      <c r="A435" s="35"/>
      <c r="B435" s="35"/>
      <c r="C435" s="36">
        <v>46087.414583333331</v>
      </c>
      <c r="D435" s="35" t="s">
        <v>362</v>
      </c>
      <c r="E435" s="35" t="s">
        <v>95</v>
      </c>
      <c r="F435" s="35">
        <v>0</v>
      </c>
      <c r="G435" s="35" t="s">
        <v>781</v>
      </c>
      <c r="H435" s="35"/>
      <c r="I435" s="35"/>
      <c r="J435" s="35"/>
      <c r="K435" s="35"/>
      <c r="L435" s="35"/>
      <c r="M435" s="35"/>
    </row>
    <row r="436" spans="1:13" x14ac:dyDescent="0.3">
      <c r="A436" s="35"/>
      <c r="B436" s="35"/>
      <c r="C436" s="36">
        <v>46087.414618055554</v>
      </c>
      <c r="D436" s="35" t="s">
        <v>362</v>
      </c>
      <c r="E436" s="35" t="s">
        <v>95</v>
      </c>
      <c r="F436" s="35">
        <v>0</v>
      </c>
      <c r="G436" s="35" t="s">
        <v>782</v>
      </c>
      <c r="H436" s="35"/>
      <c r="I436" s="35"/>
      <c r="J436" s="35"/>
      <c r="K436" s="35"/>
      <c r="L436" s="35"/>
      <c r="M436" s="35"/>
    </row>
    <row r="437" spans="1:13" x14ac:dyDescent="0.3">
      <c r="A437" s="35"/>
      <c r="B437" s="35"/>
      <c r="C437" s="36">
        <v>46087.414641203701</v>
      </c>
      <c r="D437" s="35" t="s">
        <v>362</v>
      </c>
      <c r="E437" s="35" t="s">
        <v>95</v>
      </c>
      <c r="F437" s="35">
        <v>0</v>
      </c>
      <c r="G437" s="35" t="s">
        <v>783</v>
      </c>
      <c r="H437" s="35"/>
      <c r="I437" s="35"/>
      <c r="J437" s="35"/>
      <c r="K437" s="35"/>
      <c r="L437" s="35"/>
      <c r="M437" s="35"/>
    </row>
    <row r="438" spans="1:13" x14ac:dyDescent="0.3">
      <c r="A438" s="35"/>
      <c r="B438" s="35"/>
      <c r="C438" s="36">
        <v>46087.414826388886</v>
      </c>
      <c r="D438" s="35" t="s">
        <v>357</v>
      </c>
      <c r="E438" s="35" t="s">
        <v>95</v>
      </c>
      <c r="F438" s="35">
        <v>0</v>
      </c>
      <c r="G438" s="35" t="s">
        <v>784</v>
      </c>
      <c r="H438" s="35"/>
      <c r="I438" s="35"/>
      <c r="J438" s="35"/>
      <c r="K438" s="35"/>
      <c r="L438" s="35"/>
      <c r="M438" s="35"/>
    </row>
    <row r="439" spans="1:13" x14ac:dyDescent="0.3">
      <c r="A439" s="35"/>
      <c r="B439" s="35"/>
      <c r="C439" s="36">
        <v>46087.415219907409</v>
      </c>
      <c r="D439" s="35" t="s">
        <v>362</v>
      </c>
      <c r="E439" s="35" t="s">
        <v>95</v>
      </c>
      <c r="F439" s="35">
        <v>0</v>
      </c>
      <c r="G439" s="35" t="s">
        <v>785</v>
      </c>
      <c r="H439" s="35"/>
      <c r="I439" s="35"/>
      <c r="J439" s="35"/>
      <c r="K439" s="35"/>
      <c r="L439" s="35"/>
      <c r="M439" s="35"/>
    </row>
    <row r="440" spans="1:13" x14ac:dyDescent="0.3">
      <c r="A440" s="35"/>
      <c r="B440" s="35"/>
      <c r="C440" s="36">
        <v>46087.415277777778</v>
      </c>
      <c r="D440" s="35" t="s">
        <v>362</v>
      </c>
      <c r="E440" s="35" t="s">
        <v>95</v>
      </c>
      <c r="F440" s="35">
        <v>0</v>
      </c>
      <c r="G440" s="35" t="s">
        <v>786</v>
      </c>
      <c r="H440" s="35"/>
      <c r="I440" s="35"/>
      <c r="J440" s="35"/>
      <c r="K440" s="35"/>
      <c r="L440" s="35"/>
      <c r="M440" s="35"/>
    </row>
    <row r="441" spans="1:13" x14ac:dyDescent="0.3">
      <c r="A441" s="35"/>
      <c r="B441" s="35"/>
      <c r="C441" s="36">
        <v>46087.415405092594</v>
      </c>
      <c r="D441" s="35" t="s">
        <v>362</v>
      </c>
      <c r="E441" s="35" t="s">
        <v>95</v>
      </c>
      <c r="F441" s="35">
        <v>0</v>
      </c>
      <c r="G441" s="35" t="s">
        <v>787</v>
      </c>
      <c r="H441" s="35"/>
      <c r="I441" s="35"/>
      <c r="J441" s="35"/>
      <c r="K441" s="35"/>
      <c r="L441" s="35"/>
      <c r="M441" s="35"/>
    </row>
    <row r="442" spans="1:13" x14ac:dyDescent="0.3">
      <c r="A442" s="35"/>
      <c r="B442" s="35"/>
      <c r="C442" s="36">
        <v>46087.41547453704</v>
      </c>
      <c r="D442" s="35" t="s">
        <v>362</v>
      </c>
      <c r="E442" s="35" t="s">
        <v>95</v>
      </c>
      <c r="F442" s="35">
        <v>0</v>
      </c>
      <c r="G442" s="35" t="s">
        <v>788</v>
      </c>
      <c r="H442" s="35"/>
      <c r="I442" s="35"/>
      <c r="J442" s="35"/>
      <c r="K442" s="35"/>
      <c r="L442" s="35"/>
      <c r="M442" s="35"/>
    </row>
    <row r="443" spans="1:13" x14ac:dyDescent="0.3">
      <c r="A443" s="35"/>
      <c r="B443" s="35"/>
      <c r="C443" s="36">
        <v>46087.415520833332</v>
      </c>
      <c r="D443" s="35" t="s">
        <v>362</v>
      </c>
      <c r="E443" s="35" t="s">
        <v>95</v>
      </c>
      <c r="F443" s="35">
        <v>0</v>
      </c>
      <c r="G443" s="35" t="s">
        <v>789</v>
      </c>
      <c r="H443" s="35"/>
      <c r="I443" s="35"/>
      <c r="J443" s="35"/>
      <c r="K443" s="35"/>
      <c r="L443" s="35"/>
      <c r="M443" s="35"/>
    </row>
    <row r="444" spans="1:13" x14ac:dyDescent="0.3">
      <c r="A444" s="35"/>
      <c r="B444" s="35"/>
      <c r="C444" s="36">
        <v>46087.415671296294</v>
      </c>
      <c r="D444" s="35" t="s">
        <v>362</v>
      </c>
      <c r="E444" s="35" t="s">
        <v>95</v>
      </c>
      <c r="F444" s="35">
        <v>0</v>
      </c>
      <c r="G444" s="35" t="s">
        <v>790</v>
      </c>
      <c r="H444" s="35"/>
      <c r="I444" s="35"/>
      <c r="J444" s="35"/>
      <c r="K444" s="35"/>
      <c r="L444" s="35"/>
      <c r="M444" s="35"/>
    </row>
    <row r="445" spans="1:13" x14ac:dyDescent="0.3">
      <c r="A445" s="35"/>
      <c r="B445" s="35"/>
      <c r="C445" s="36">
        <v>46087.415717592594</v>
      </c>
      <c r="D445" s="35" t="s">
        <v>362</v>
      </c>
      <c r="E445" s="35" t="s">
        <v>95</v>
      </c>
      <c r="F445" s="35">
        <v>0</v>
      </c>
      <c r="G445" s="35" t="s">
        <v>791</v>
      </c>
      <c r="H445" s="35"/>
      <c r="I445" s="35"/>
      <c r="J445" s="35"/>
      <c r="K445" s="35"/>
      <c r="L445" s="35"/>
      <c r="M445" s="35"/>
    </row>
    <row r="446" spans="1:13" x14ac:dyDescent="0.3">
      <c r="A446" s="35"/>
      <c r="B446" s="35"/>
      <c r="C446" s="36">
        <v>46087.415729166663</v>
      </c>
      <c r="D446" s="35" t="s">
        <v>350</v>
      </c>
      <c r="E446" s="35" t="s">
        <v>95</v>
      </c>
      <c r="F446" s="35">
        <v>0</v>
      </c>
      <c r="G446" s="35" t="s">
        <v>728</v>
      </c>
      <c r="H446" s="35"/>
      <c r="I446" s="35"/>
      <c r="J446" s="35"/>
      <c r="K446" s="35"/>
      <c r="L446" s="35"/>
      <c r="M446" s="35"/>
    </row>
    <row r="447" spans="1:13" x14ac:dyDescent="0.3">
      <c r="A447" s="35"/>
      <c r="B447" s="35"/>
      <c r="C447" s="36">
        <v>46087.415914351855</v>
      </c>
      <c r="D447" s="35" t="s">
        <v>362</v>
      </c>
      <c r="E447" s="35" t="s">
        <v>95</v>
      </c>
      <c r="F447" s="35">
        <v>0</v>
      </c>
      <c r="G447" s="35" t="s">
        <v>792</v>
      </c>
      <c r="H447" s="35"/>
      <c r="I447" s="35"/>
      <c r="J447" s="35"/>
      <c r="K447" s="35"/>
      <c r="L447" s="35"/>
      <c r="M447" s="35"/>
    </row>
    <row r="448" spans="1:13" x14ac:dyDescent="0.3">
      <c r="A448" s="35"/>
      <c r="B448" s="35"/>
      <c r="C448" s="36">
        <v>46087.415960648148</v>
      </c>
      <c r="D448" s="35" t="s">
        <v>362</v>
      </c>
      <c r="E448" s="35" t="s">
        <v>95</v>
      </c>
      <c r="F448" s="35">
        <v>0</v>
      </c>
      <c r="G448" s="35" t="s">
        <v>793</v>
      </c>
      <c r="H448" s="35"/>
      <c r="I448" s="35"/>
      <c r="J448" s="35"/>
      <c r="K448" s="35"/>
      <c r="L448" s="35"/>
      <c r="M448" s="35"/>
    </row>
    <row r="449" spans="1:13" x14ac:dyDescent="0.3">
      <c r="A449" s="35"/>
      <c r="B449" s="35"/>
      <c r="C449" s="36">
        <v>46087.415995370371</v>
      </c>
      <c r="D449" s="35" t="s">
        <v>362</v>
      </c>
      <c r="E449" s="35" t="s">
        <v>95</v>
      </c>
      <c r="F449" s="35">
        <v>0</v>
      </c>
      <c r="G449" s="35" t="s">
        <v>794</v>
      </c>
      <c r="H449" s="35"/>
      <c r="I449" s="35"/>
      <c r="J449" s="35"/>
      <c r="K449" s="35"/>
      <c r="L449" s="35"/>
      <c r="M449" s="35"/>
    </row>
    <row r="450" spans="1:13" x14ac:dyDescent="0.3">
      <c r="A450" s="35"/>
      <c r="B450" s="35"/>
      <c r="C450" s="36">
        <v>46087.417083333334</v>
      </c>
      <c r="D450" s="35" t="s">
        <v>362</v>
      </c>
      <c r="E450" s="35" t="s">
        <v>95</v>
      </c>
      <c r="F450" s="35">
        <v>0</v>
      </c>
      <c r="G450" s="35" t="s">
        <v>795</v>
      </c>
      <c r="H450" s="35"/>
      <c r="I450" s="35"/>
      <c r="J450" s="35"/>
      <c r="K450" s="35"/>
      <c r="L450" s="35"/>
      <c r="M450" s="35"/>
    </row>
    <row r="451" spans="1:13" x14ac:dyDescent="0.3">
      <c r="A451" s="35"/>
      <c r="B451" s="35"/>
      <c r="C451" s="36">
        <v>46087.41710648148</v>
      </c>
      <c r="D451" s="35" t="s">
        <v>362</v>
      </c>
      <c r="E451" s="35" t="s">
        <v>95</v>
      </c>
      <c r="F451" s="35">
        <v>0</v>
      </c>
      <c r="G451" s="35" t="s">
        <v>796</v>
      </c>
      <c r="H451" s="35"/>
      <c r="I451" s="35"/>
      <c r="J451" s="35"/>
      <c r="K451" s="35"/>
      <c r="L451" s="35"/>
      <c r="M451" s="35"/>
    </row>
    <row r="452" spans="1:13" x14ac:dyDescent="0.3">
      <c r="A452" s="35"/>
      <c r="B452" s="35"/>
      <c r="C452" s="36">
        <v>46087.417291666665</v>
      </c>
      <c r="D452" s="35" t="s">
        <v>362</v>
      </c>
      <c r="E452" s="35" t="s">
        <v>95</v>
      </c>
      <c r="F452" s="35">
        <v>0</v>
      </c>
      <c r="G452" s="35" t="s">
        <v>797</v>
      </c>
      <c r="H452" s="35"/>
      <c r="I452" s="35"/>
      <c r="J452" s="35"/>
      <c r="K452" s="35"/>
      <c r="L452" s="35"/>
      <c r="M452" s="35"/>
    </row>
    <row r="453" spans="1:13" x14ac:dyDescent="0.3">
      <c r="A453" s="35"/>
      <c r="B453" s="35"/>
      <c r="C453" s="36">
        <v>46087.417581018519</v>
      </c>
      <c r="D453" s="35" t="s">
        <v>362</v>
      </c>
      <c r="E453" s="35" t="s">
        <v>95</v>
      </c>
      <c r="F453" s="35">
        <v>0</v>
      </c>
      <c r="G453" s="35" t="s">
        <v>798</v>
      </c>
      <c r="H453" s="35"/>
      <c r="I453" s="35"/>
      <c r="J453" s="35"/>
      <c r="K453" s="35"/>
      <c r="L453" s="35"/>
      <c r="M453" s="35"/>
    </row>
    <row r="454" spans="1:13" x14ac:dyDescent="0.3">
      <c r="A454" s="35"/>
      <c r="B454" s="35"/>
      <c r="C454" s="36">
        <v>46087.417592592596</v>
      </c>
      <c r="D454" s="35" t="s">
        <v>362</v>
      </c>
      <c r="E454" s="35" t="s">
        <v>95</v>
      </c>
      <c r="F454" s="35">
        <v>0</v>
      </c>
      <c r="G454" s="35" t="s">
        <v>799</v>
      </c>
      <c r="H454" s="35"/>
      <c r="I454" s="35"/>
      <c r="J454" s="35"/>
      <c r="K454" s="35"/>
      <c r="L454" s="35"/>
      <c r="M454" s="35"/>
    </row>
    <row r="455" spans="1:13" x14ac:dyDescent="0.3">
      <c r="A455" s="35"/>
      <c r="B455" s="35"/>
      <c r="C455" s="36">
        <v>46087.417870370373</v>
      </c>
      <c r="D455" s="35" t="s">
        <v>362</v>
      </c>
      <c r="E455" s="35" t="s">
        <v>95</v>
      </c>
      <c r="F455" s="35">
        <v>0</v>
      </c>
      <c r="G455" s="35" t="s">
        <v>800</v>
      </c>
      <c r="H455" s="35"/>
      <c r="I455" s="35"/>
      <c r="J455" s="35"/>
      <c r="K455" s="35"/>
      <c r="L455" s="35"/>
      <c r="M455" s="35"/>
    </row>
    <row r="456" spans="1:13" x14ac:dyDescent="0.3">
      <c r="A456" s="35"/>
      <c r="B456" s="35"/>
      <c r="C456" s="36">
        <v>46087.418043981481</v>
      </c>
      <c r="D456" s="35" t="s">
        <v>362</v>
      </c>
      <c r="E456" s="35" t="s">
        <v>95</v>
      </c>
      <c r="F456" s="35">
        <v>0</v>
      </c>
      <c r="G456" s="35" t="s">
        <v>801</v>
      </c>
      <c r="H456" s="35"/>
      <c r="I456" s="35"/>
      <c r="J456" s="35"/>
      <c r="K456" s="35"/>
      <c r="L456" s="35"/>
      <c r="M456" s="35"/>
    </row>
    <row r="457" spans="1:13" x14ac:dyDescent="0.3">
      <c r="A457" s="35"/>
      <c r="B457" s="35"/>
      <c r="C457" s="36">
        <v>46087.418124999997</v>
      </c>
      <c r="D457" s="35" t="s">
        <v>362</v>
      </c>
      <c r="E457" s="35" t="s">
        <v>95</v>
      </c>
      <c r="F457" s="35">
        <v>0</v>
      </c>
      <c r="G457" s="35" t="s">
        <v>802</v>
      </c>
      <c r="H457" s="35"/>
      <c r="I457" s="35"/>
      <c r="J457" s="35"/>
      <c r="K457" s="35"/>
      <c r="L457" s="35"/>
      <c r="M457" s="35"/>
    </row>
    <row r="458" spans="1:13" x14ac:dyDescent="0.3">
      <c r="A458" s="35"/>
      <c r="B458" s="35"/>
      <c r="C458" s="36">
        <v>46087.418495370373</v>
      </c>
      <c r="D458" s="35" t="s">
        <v>362</v>
      </c>
      <c r="E458" s="35" t="s">
        <v>95</v>
      </c>
      <c r="F458" s="35">
        <v>0</v>
      </c>
      <c r="G458" s="35" t="s">
        <v>803</v>
      </c>
      <c r="H458" s="35"/>
      <c r="I458" s="35"/>
      <c r="J458" s="35"/>
      <c r="K458" s="35"/>
      <c r="L458" s="35"/>
      <c r="M458" s="35"/>
    </row>
    <row r="459" spans="1:13" x14ac:dyDescent="0.3">
      <c r="A459" s="35"/>
      <c r="B459" s="35"/>
      <c r="C459" s="36">
        <v>46087.41851851852</v>
      </c>
      <c r="D459" s="35" t="s">
        <v>362</v>
      </c>
      <c r="E459" s="35" t="s">
        <v>95</v>
      </c>
      <c r="F459" s="35">
        <v>0</v>
      </c>
      <c r="G459" s="35" t="s">
        <v>804</v>
      </c>
      <c r="H459" s="35"/>
      <c r="I459" s="35"/>
      <c r="J459" s="35"/>
      <c r="K459" s="35"/>
      <c r="L459" s="35"/>
      <c r="M459" s="35"/>
    </row>
    <row r="460" spans="1:13" x14ac:dyDescent="0.3">
      <c r="A460" s="35"/>
      <c r="B460" s="35"/>
      <c r="C460" s="36">
        <v>46087.418564814812</v>
      </c>
      <c r="D460" s="35" t="s">
        <v>362</v>
      </c>
      <c r="E460" s="35" t="s">
        <v>95</v>
      </c>
      <c r="F460" s="35">
        <v>0</v>
      </c>
      <c r="G460" s="35" t="s">
        <v>805</v>
      </c>
      <c r="H460" s="35"/>
      <c r="I460" s="35"/>
      <c r="J460" s="35"/>
      <c r="K460" s="35"/>
      <c r="L460" s="35"/>
      <c r="M460" s="35"/>
    </row>
    <row r="461" spans="1:13" x14ac:dyDescent="0.3">
      <c r="A461" s="35"/>
      <c r="B461" s="35"/>
      <c r="C461" s="36">
        <v>46087.418749999997</v>
      </c>
      <c r="D461" s="35" t="s">
        <v>350</v>
      </c>
      <c r="E461" s="35" t="s">
        <v>95</v>
      </c>
      <c r="F461" s="35">
        <v>0</v>
      </c>
      <c r="G461" s="35" t="s">
        <v>806</v>
      </c>
      <c r="H461" s="35"/>
      <c r="I461" s="35"/>
      <c r="J461" s="35"/>
      <c r="K461" s="35"/>
      <c r="L461" s="35"/>
      <c r="M461" s="35"/>
    </row>
    <row r="462" spans="1:13" x14ac:dyDescent="0.3">
      <c r="A462" s="35"/>
      <c r="B462" s="35"/>
      <c r="C462" s="36">
        <v>46087.41878472222</v>
      </c>
      <c r="D462" s="35" t="s">
        <v>362</v>
      </c>
      <c r="E462" s="35" t="s">
        <v>95</v>
      </c>
      <c r="F462" s="35">
        <v>0</v>
      </c>
      <c r="G462" s="35" t="s">
        <v>807</v>
      </c>
      <c r="H462" s="35"/>
      <c r="I462" s="35"/>
      <c r="J462" s="35"/>
      <c r="K462" s="35"/>
      <c r="L462" s="35"/>
      <c r="M462" s="35"/>
    </row>
    <row r="463" spans="1:13" x14ac:dyDescent="0.3">
      <c r="A463" s="35"/>
      <c r="B463" s="35"/>
      <c r="C463" s="36">
        <v>46087.419085648151</v>
      </c>
      <c r="D463" s="35" t="s">
        <v>362</v>
      </c>
      <c r="E463" s="35" t="s">
        <v>95</v>
      </c>
      <c r="F463" s="35">
        <v>0</v>
      </c>
      <c r="G463" s="35" t="s">
        <v>808</v>
      </c>
      <c r="H463" s="35"/>
      <c r="I463" s="35"/>
      <c r="J463" s="35"/>
      <c r="K463" s="35"/>
      <c r="L463" s="35"/>
      <c r="M463" s="35"/>
    </row>
    <row r="464" spans="1:13" x14ac:dyDescent="0.3">
      <c r="A464" s="35"/>
      <c r="B464" s="35"/>
      <c r="C464" s="36">
        <v>46087.419108796297</v>
      </c>
      <c r="D464" s="35" t="s">
        <v>362</v>
      </c>
      <c r="E464" s="35" t="s">
        <v>95</v>
      </c>
      <c r="F464" s="35">
        <v>0</v>
      </c>
      <c r="G464" s="35" t="s">
        <v>809</v>
      </c>
      <c r="H464" s="35"/>
      <c r="I464" s="35"/>
      <c r="J464" s="35"/>
      <c r="K464" s="35"/>
      <c r="L464" s="35"/>
      <c r="M464" s="35"/>
    </row>
    <row r="465" spans="1:13" x14ac:dyDescent="0.3">
      <c r="A465" s="35"/>
      <c r="B465" s="35"/>
      <c r="C465" s="36">
        <v>46087.41914351852</v>
      </c>
      <c r="D465" s="35" t="s">
        <v>362</v>
      </c>
      <c r="E465" s="35" t="s">
        <v>95</v>
      </c>
      <c r="F465" s="35">
        <v>0</v>
      </c>
      <c r="G465" s="35" t="s">
        <v>810</v>
      </c>
      <c r="H465" s="35"/>
      <c r="I465" s="35"/>
      <c r="J465" s="35"/>
      <c r="K465" s="35"/>
      <c r="L465" s="35"/>
      <c r="M465" s="35"/>
    </row>
    <row r="466" spans="1:13" x14ac:dyDescent="0.3">
      <c r="A466" s="35"/>
      <c r="B466" s="35"/>
      <c r="C466" s="36">
        <v>46087.419247685182</v>
      </c>
      <c r="D466" s="35" t="s">
        <v>362</v>
      </c>
      <c r="E466" s="35" t="s">
        <v>95</v>
      </c>
      <c r="F466" s="35">
        <v>0</v>
      </c>
      <c r="G466" s="35" t="s">
        <v>811</v>
      </c>
      <c r="H466" s="35"/>
      <c r="I466" s="35"/>
      <c r="J466" s="35"/>
      <c r="K466" s="35"/>
      <c r="L466" s="35"/>
      <c r="M466" s="35"/>
    </row>
    <row r="467" spans="1:13" x14ac:dyDescent="0.3">
      <c r="A467" s="35"/>
      <c r="B467" s="35"/>
      <c r="C467" s="36">
        <v>46087.419293981482</v>
      </c>
      <c r="D467" s="35" t="s">
        <v>362</v>
      </c>
      <c r="E467" s="35" t="s">
        <v>95</v>
      </c>
      <c r="F467" s="35">
        <v>0</v>
      </c>
      <c r="G467" s="35" t="s">
        <v>812</v>
      </c>
      <c r="H467" s="35"/>
      <c r="I467" s="35"/>
      <c r="J467" s="35"/>
      <c r="K467" s="35"/>
      <c r="L467" s="35"/>
      <c r="M467" s="35"/>
    </row>
    <row r="468" spans="1:13" x14ac:dyDescent="0.3">
      <c r="A468" s="35"/>
      <c r="B468" s="35"/>
      <c r="C468" s="36">
        <v>46087.419351851851</v>
      </c>
      <c r="D468" s="35" t="s">
        <v>362</v>
      </c>
      <c r="E468" s="35" t="s">
        <v>95</v>
      </c>
      <c r="F468" s="35">
        <v>0</v>
      </c>
      <c r="G468" s="35" t="s">
        <v>813</v>
      </c>
      <c r="H468" s="35"/>
      <c r="I468" s="35"/>
      <c r="J468" s="35"/>
      <c r="K468" s="35"/>
      <c r="L468" s="35"/>
      <c r="M468" s="35"/>
    </row>
    <row r="469" spans="1:13" x14ac:dyDescent="0.3">
      <c r="A469" s="35"/>
      <c r="B469" s="35"/>
      <c r="C469" s="36">
        <v>46087.419386574074</v>
      </c>
      <c r="D469" s="35" t="s">
        <v>362</v>
      </c>
      <c r="E469" s="35" t="s">
        <v>95</v>
      </c>
      <c r="F469" s="35">
        <v>0</v>
      </c>
      <c r="G469" s="35" t="s">
        <v>713</v>
      </c>
      <c r="H469" s="35"/>
      <c r="I469" s="35"/>
      <c r="J469" s="35"/>
      <c r="K469" s="35"/>
      <c r="L469" s="35"/>
      <c r="M469" s="35"/>
    </row>
    <row r="470" spans="1:13" x14ac:dyDescent="0.3">
      <c r="A470" s="35"/>
      <c r="B470" s="35"/>
      <c r="C470" s="36">
        <v>46087.419490740744</v>
      </c>
      <c r="D470" s="35" t="s">
        <v>362</v>
      </c>
      <c r="E470" s="35" t="s">
        <v>95</v>
      </c>
      <c r="F470" s="35">
        <v>0</v>
      </c>
      <c r="G470" s="35" t="s">
        <v>814</v>
      </c>
      <c r="H470" s="35"/>
      <c r="I470" s="35"/>
      <c r="J470" s="35"/>
      <c r="K470" s="35"/>
      <c r="L470" s="35"/>
      <c r="M470" s="35"/>
    </row>
    <row r="471" spans="1:13" x14ac:dyDescent="0.3">
      <c r="A471" s="35"/>
      <c r="B471" s="35"/>
      <c r="C471" s="36">
        <v>46087.41951388889</v>
      </c>
      <c r="D471" s="35" t="s">
        <v>362</v>
      </c>
      <c r="E471" s="35" t="s">
        <v>95</v>
      </c>
      <c r="F471" s="35">
        <v>0</v>
      </c>
      <c r="G471" s="35" t="s">
        <v>815</v>
      </c>
      <c r="H471" s="35"/>
      <c r="I471" s="35"/>
      <c r="J471" s="35"/>
      <c r="K471" s="35"/>
      <c r="L471" s="35"/>
      <c r="M471" s="35"/>
    </row>
    <row r="472" spans="1:13" x14ac:dyDescent="0.3">
      <c r="A472" s="35"/>
      <c r="B472" s="35"/>
      <c r="C472" s="36">
        <v>46087.419756944444</v>
      </c>
      <c r="D472" s="35" t="s">
        <v>362</v>
      </c>
      <c r="E472" s="35" t="s">
        <v>95</v>
      </c>
      <c r="F472" s="35">
        <v>0</v>
      </c>
      <c r="G472" s="35" t="s">
        <v>816</v>
      </c>
      <c r="H472" s="35"/>
      <c r="I472" s="35"/>
      <c r="J472" s="35"/>
      <c r="K472" s="35"/>
      <c r="L472" s="35"/>
      <c r="M472" s="35"/>
    </row>
    <row r="473" spans="1:13" x14ac:dyDescent="0.3">
      <c r="A473" s="35"/>
      <c r="B473" s="35"/>
      <c r="C473" s="36">
        <v>46087.41978009259</v>
      </c>
      <c r="D473" s="35" t="s">
        <v>362</v>
      </c>
      <c r="E473" s="35" t="s">
        <v>95</v>
      </c>
      <c r="F473" s="35">
        <v>0</v>
      </c>
      <c r="G473" s="35" t="s">
        <v>817</v>
      </c>
      <c r="H473" s="35"/>
      <c r="I473" s="35"/>
      <c r="J473" s="35"/>
      <c r="K473" s="35"/>
      <c r="L473" s="35"/>
      <c r="M473" s="35"/>
    </row>
    <row r="474" spans="1:13" x14ac:dyDescent="0.3">
      <c r="A474" s="35"/>
      <c r="B474" s="35"/>
      <c r="C474" s="36">
        <v>46087.420069444444</v>
      </c>
      <c r="D474" s="35" t="s">
        <v>362</v>
      </c>
      <c r="E474" s="35" t="s">
        <v>95</v>
      </c>
      <c r="F474" s="35">
        <v>0</v>
      </c>
      <c r="G474" s="35" t="s">
        <v>818</v>
      </c>
      <c r="H474" s="35"/>
      <c r="I474" s="35"/>
      <c r="J474" s="35"/>
      <c r="K474" s="35"/>
      <c r="L474" s="35"/>
      <c r="M474" s="35"/>
    </row>
    <row r="475" spans="1:13" x14ac:dyDescent="0.3">
      <c r="A475" s="35"/>
      <c r="B475" s="35"/>
      <c r="C475" s="36">
        <v>46087.420138888891</v>
      </c>
      <c r="D475" s="35" t="s">
        <v>362</v>
      </c>
      <c r="E475" s="35" t="s">
        <v>95</v>
      </c>
      <c r="F475" s="35">
        <v>0</v>
      </c>
      <c r="G475" s="35" t="s">
        <v>819</v>
      </c>
      <c r="H475" s="35"/>
      <c r="I475" s="35"/>
      <c r="J475" s="35"/>
      <c r="K475" s="35"/>
      <c r="L475" s="35"/>
      <c r="M475" s="35"/>
    </row>
    <row r="476" spans="1:13" x14ac:dyDescent="0.3">
      <c r="A476" s="35"/>
      <c r="B476" s="35"/>
      <c r="C476" s="36">
        <v>46087.420543981483</v>
      </c>
      <c r="D476" s="35" t="s">
        <v>362</v>
      </c>
      <c r="E476" s="35" t="s">
        <v>95</v>
      </c>
      <c r="F476" s="35">
        <v>0</v>
      </c>
      <c r="G476" s="35" t="s">
        <v>820</v>
      </c>
      <c r="H476" s="35"/>
      <c r="I476" s="35"/>
      <c r="J476" s="35"/>
      <c r="K476" s="35"/>
      <c r="L476" s="35"/>
      <c r="M476" s="35"/>
    </row>
    <row r="477" spans="1:13" x14ac:dyDescent="0.3">
      <c r="A477" s="35"/>
      <c r="B477" s="35"/>
      <c r="C477" s="36">
        <v>46087.420648148145</v>
      </c>
      <c r="D477" s="35" t="s">
        <v>362</v>
      </c>
      <c r="E477" s="35" t="s">
        <v>95</v>
      </c>
      <c r="F477" s="35">
        <v>0</v>
      </c>
      <c r="G477" s="35" t="s">
        <v>821</v>
      </c>
      <c r="H477" s="35"/>
      <c r="I477" s="35"/>
      <c r="J477" s="35"/>
      <c r="K477" s="35"/>
      <c r="L477" s="35"/>
      <c r="M477" s="35"/>
    </row>
    <row r="478" spans="1:13" x14ac:dyDescent="0.3">
      <c r="A478" s="35"/>
      <c r="B478" s="35"/>
      <c r="C478" s="36">
        <v>46087.420729166668</v>
      </c>
      <c r="D478" s="35" t="s">
        <v>362</v>
      </c>
      <c r="E478" s="35" t="s">
        <v>95</v>
      </c>
      <c r="F478" s="35">
        <v>0</v>
      </c>
      <c r="G478" s="35" t="s">
        <v>822</v>
      </c>
      <c r="H478" s="35"/>
      <c r="I478" s="35"/>
      <c r="J478" s="35"/>
      <c r="K478" s="35"/>
      <c r="L478" s="35"/>
      <c r="M478" s="35"/>
    </row>
    <row r="479" spans="1:13" x14ac:dyDescent="0.3">
      <c r="A479" s="35"/>
      <c r="B479" s="35"/>
      <c r="C479" s="36">
        <v>46087.42083333333</v>
      </c>
      <c r="D479" s="35" t="s">
        <v>350</v>
      </c>
      <c r="E479" s="35" t="s">
        <v>95</v>
      </c>
      <c r="F479" s="35">
        <v>0</v>
      </c>
      <c r="G479" s="35" t="s">
        <v>823</v>
      </c>
      <c r="H479" s="35"/>
      <c r="I479" s="35"/>
      <c r="J479" s="35"/>
      <c r="K479" s="35"/>
      <c r="L479" s="35"/>
      <c r="M479" s="35"/>
    </row>
    <row r="480" spans="1:13" x14ac:dyDescent="0.3">
      <c r="A480" s="35"/>
      <c r="B480" s="35"/>
      <c r="C480" s="36">
        <v>46087.420925925922</v>
      </c>
      <c r="D480" s="35" t="s">
        <v>362</v>
      </c>
      <c r="E480" s="35" t="s">
        <v>95</v>
      </c>
      <c r="F480" s="35">
        <v>0</v>
      </c>
      <c r="G480" s="35" t="s">
        <v>824</v>
      </c>
      <c r="H480" s="35"/>
      <c r="I480" s="35"/>
      <c r="J480" s="35"/>
      <c r="K480" s="35"/>
      <c r="L480" s="35"/>
      <c r="M480" s="35"/>
    </row>
    <row r="481" spans="1:13" x14ac:dyDescent="0.3">
      <c r="A481" s="35"/>
      <c r="B481" s="35"/>
      <c r="C481" s="36">
        <v>46087.420937499999</v>
      </c>
      <c r="D481" s="35" t="s">
        <v>362</v>
      </c>
      <c r="E481" s="35" t="s">
        <v>95</v>
      </c>
      <c r="F481" s="35">
        <v>0</v>
      </c>
      <c r="G481" s="35" t="s">
        <v>825</v>
      </c>
      <c r="H481" s="35"/>
      <c r="I481" s="35"/>
      <c r="J481" s="35"/>
      <c r="K481" s="35"/>
      <c r="L481" s="35"/>
      <c r="M481" s="35"/>
    </row>
    <row r="482" spans="1:13" x14ac:dyDescent="0.3">
      <c r="A482" s="35"/>
      <c r="B482" s="35"/>
      <c r="C482" s="36">
        <v>46087.420972222222</v>
      </c>
      <c r="D482" s="35" t="s">
        <v>362</v>
      </c>
      <c r="E482" s="35" t="s">
        <v>95</v>
      </c>
      <c r="F482" s="35">
        <v>0</v>
      </c>
      <c r="G482" s="35" t="s">
        <v>826</v>
      </c>
      <c r="H482" s="35"/>
      <c r="I482" s="35"/>
      <c r="J482" s="35"/>
      <c r="K482" s="35"/>
      <c r="L482" s="35"/>
      <c r="M482" s="35"/>
    </row>
    <row r="483" spans="1:13" x14ac:dyDescent="0.3">
      <c r="A483" s="35"/>
      <c r="B483" s="35"/>
      <c r="C483" s="36">
        <v>46087.421053240738</v>
      </c>
      <c r="D483" s="35" t="s">
        <v>362</v>
      </c>
      <c r="E483" s="35" t="s">
        <v>95</v>
      </c>
      <c r="F483" s="35">
        <v>0</v>
      </c>
      <c r="G483" s="35" t="s">
        <v>827</v>
      </c>
      <c r="H483" s="35"/>
      <c r="I483" s="35"/>
      <c r="J483" s="35"/>
      <c r="K483" s="35"/>
      <c r="L483" s="35"/>
      <c r="M483" s="35"/>
    </row>
    <row r="484" spans="1:13" x14ac:dyDescent="0.3">
      <c r="A484" s="35"/>
      <c r="B484" s="35"/>
      <c r="C484" s="36">
        <v>46087.421400462961</v>
      </c>
      <c r="D484" s="35" t="s">
        <v>362</v>
      </c>
      <c r="E484" s="35" t="s">
        <v>95</v>
      </c>
      <c r="F484" s="35">
        <v>0</v>
      </c>
      <c r="G484" s="35" t="s">
        <v>828</v>
      </c>
      <c r="H484" s="35"/>
      <c r="I484" s="35"/>
      <c r="J484" s="35"/>
      <c r="K484" s="35"/>
      <c r="L484" s="35"/>
      <c r="M484" s="35"/>
    </row>
    <row r="485" spans="1:13" x14ac:dyDescent="0.3">
      <c r="A485" s="35"/>
      <c r="B485" s="35"/>
      <c r="C485" s="36">
        <v>46087.421412037038</v>
      </c>
      <c r="D485" s="35" t="s">
        <v>362</v>
      </c>
      <c r="E485" s="35" t="s">
        <v>95</v>
      </c>
      <c r="F485" s="35">
        <v>0</v>
      </c>
      <c r="G485" s="35" t="s">
        <v>829</v>
      </c>
      <c r="H485" s="35"/>
      <c r="I485" s="35"/>
      <c r="J485" s="35"/>
      <c r="K485" s="35"/>
      <c r="L485" s="35"/>
      <c r="M485" s="35"/>
    </row>
    <row r="486" spans="1:13" x14ac:dyDescent="0.3">
      <c r="A486" s="35"/>
      <c r="B486" s="35"/>
      <c r="C486" s="36">
        <v>46087.421712962961</v>
      </c>
      <c r="D486" s="35" t="s">
        <v>362</v>
      </c>
      <c r="E486" s="35" t="s">
        <v>95</v>
      </c>
      <c r="F486" s="35">
        <v>0</v>
      </c>
      <c r="G486" s="35" t="s">
        <v>817</v>
      </c>
      <c r="H486" s="35"/>
      <c r="I486" s="35"/>
      <c r="J486" s="35"/>
      <c r="K486" s="35"/>
      <c r="L486" s="35"/>
      <c r="M486" s="35"/>
    </row>
    <row r="487" spans="1:13" x14ac:dyDescent="0.3">
      <c r="A487" s="35"/>
      <c r="B487" s="35"/>
      <c r="C487" s="36">
        <v>46087.421770833331</v>
      </c>
      <c r="D487" s="35" t="s">
        <v>362</v>
      </c>
      <c r="E487" s="35" t="s">
        <v>95</v>
      </c>
      <c r="F487" s="35">
        <v>0</v>
      </c>
      <c r="G487" s="35" t="s">
        <v>830</v>
      </c>
      <c r="H487" s="35"/>
      <c r="I487" s="35"/>
      <c r="J487" s="35"/>
      <c r="K487" s="35"/>
      <c r="L487" s="35"/>
      <c r="M487" s="35"/>
    </row>
    <row r="488" spans="1:13" x14ac:dyDescent="0.3">
      <c r="A488" s="35"/>
      <c r="B488" s="35"/>
      <c r="C488" s="36">
        <v>46087.421805555554</v>
      </c>
      <c r="D488" s="35" t="s">
        <v>362</v>
      </c>
      <c r="E488" s="35" t="s">
        <v>95</v>
      </c>
      <c r="F488" s="35">
        <v>0</v>
      </c>
      <c r="G488" s="35" t="s">
        <v>831</v>
      </c>
      <c r="H488" s="35"/>
      <c r="I488" s="35"/>
      <c r="J488" s="35"/>
      <c r="K488" s="35"/>
      <c r="L488" s="35"/>
      <c r="M488" s="35"/>
    </row>
    <row r="489" spans="1:13" x14ac:dyDescent="0.3">
      <c r="A489" s="35"/>
      <c r="B489" s="35"/>
      <c r="C489" s="36">
        <v>46087.421817129631</v>
      </c>
      <c r="D489" s="35" t="s">
        <v>362</v>
      </c>
      <c r="E489" s="35" t="s">
        <v>95</v>
      </c>
      <c r="F489" s="35">
        <v>0</v>
      </c>
      <c r="G489" s="35" t="s">
        <v>832</v>
      </c>
      <c r="H489" s="35"/>
      <c r="I489" s="35"/>
      <c r="J489" s="35"/>
      <c r="K489" s="35"/>
      <c r="L489" s="35"/>
      <c r="M489" s="35"/>
    </row>
    <row r="490" spans="1:13" x14ac:dyDescent="0.3">
      <c r="A490" s="35"/>
      <c r="B490" s="35"/>
      <c r="C490" s="36">
        <v>46087.421967592592</v>
      </c>
      <c r="D490" s="35" t="s">
        <v>362</v>
      </c>
      <c r="E490" s="35" t="s">
        <v>95</v>
      </c>
      <c r="F490" s="35">
        <v>0</v>
      </c>
      <c r="G490" s="35" t="s">
        <v>833</v>
      </c>
      <c r="H490" s="35"/>
      <c r="I490" s="35"/>
      <c r="J490" s="35"/>
      <c r="K490" s="35"/>
      <c r="L490" s="35"/>
      <c r="M490" s="35"/>
    </row>
    <row r="491" spans="1:13" x14ac:dyDescent="0.3">
      <c r="A491" s="35"/>
      <c r="B491" s="35"/>
      <c r="C491" s="36">
        <v>46087.422094907408</v>
      </c>
      <c r="D491" s="35" t="s">
        <v>362</v>
      </c>
      <c r="E491" s="35" t="s">
        <v>95</v>
      </c>
      <c r="F491" s="35">
        <v>0</v>
      </c>
      <c r="G491" s="35" t="s">
        <v>834</v>
      </c>
      <c r="H491" s="35"/>
      <c r="I491" s="35"/>
      <c r="J491" s="35"/>
      <c r="K491" s="35"/>
      <c r="L491" s="35"/>
      <c r="M491" s="35"/>
    </row>
    <row r="492" spans="1:13" x14ac:dyDescent="0.3">
      <c r="A492" s="35"/>
      <c r="B492" s="35"/>
      <c r="C492" s="36">
        <v>46087.422175925924</v>
      </c>
      <c r="D492" s="35" t="s">
        <v>362</v>
      </c>
      <c r="E492" s="35" t="s">
        <v>95</v>
      </c>
      <c r="F492" s="35">
        <v>0</v>
      </c>
      <c r="G492" s="35" t="s">
        <v>835</v>
      </c>
      <c r="H492" s="35"/>
      <c r="I492" s="35"/>
      <c r="J492" s="35"/>
      <c r="K492" s="35"/>
      <c r="L492" s="35"/>
      <c r="M492" s="35"/>
    </row>
    <row r="493" spans="1:13" x14ac:dyDescent="0.3">
      <c r="A493" s="35"/>
      <c r="B493" s="35"/>
      <c r="C493" s="36">
        <v>46087.422418981485</v>
      </c>
      <c r="D493" s="35" t="s">
        <v>362</v>
      </c>
      <c r="E493" s="35" t="s">
        <v>95</v>
      </c>
      <c r="F493" s="35">
        <v>0</v>
      </c>
      <c r="G493" s="35" t="s">
        <v>836</v>
      </c>
      <c r="H493" s="35"/>
      <c r="I493" s="35"/>
      <c r="J493" s="35"/>
      <c r="K493" s="35"/>
      <c r="L493" s="35"/>
      <c r="M493" s="35"/>
    </row>
    <row r="494" spans="1:13" x14ac:dyDescent="0.3">
      <c r="A494" s="35"/>
      <c r="B494" s="35"/>
      <c r="C494" s="36">
        <v>46087.422453703701</v>
      </c>
      <c r="D494" s="35" t="s">
        <v>350</v>
      </c>
      <c r="E494" s="35" t="s">
        <v>95</v>
      </c>
      <c r="F494" s="35">
        <v>0</v>
      </c>
      <c r="G494" s="35" t="s">
        <v>837</v>
      </c>
      <c r="H494" s="35"/>
      <c r="I494" s="35"/>
      <c r="J494" s="35"/>
      <c r="K494" s="35"/>
      <c r="L494" s="35"/>
      <c r="M494" s="35"/>
    </row>
    <row r="495" spans="1:13" x14ac:dyDescent="0.3">
      <c r="A495" s="35"/>
      <c r="B495" s="35"/>
      <c r="C495" s="36">
        <v>46087.422615740739</v>
      </c>
      <c r="D495" s="35" t="s">
        <v>362</v>
      </c>
      <c r="E495" s="35" t="s">
        <v>95</v>
      </c>
      <c r="F495" s="35">
        <v>0</v>
      </c>
      <c r="G495" s="35" t="s">
        <v>838</v>
      </c>
      <c r="H495" s="35"/>
      <c r="I495" s="35"/>
      <c r="J495" s="35"/>
      <c r="K495" s="35"/>
      <c r="L495" s="35"/>
      <c r="M495" s="35"/>
    </row>
    <row r="496" spans="1:13" x14ac:dyDescent="0.3">
      <c r="A496" s="35"/>
      <c r="B496" s="35"/>
      <c r="C496" s="36">
        <v>46087.422685185185</v>
      </c>
      <c r="D496" s="35" t="s">
        <v>362</v>
      </c>
      <c r="E496" s="35" t="s">
        <v>95</v>
      </c>
      <c r="F496" s="35">
        <v>0</v>
      </c>
      <c r="G496" s="35" t="s">
        <v>839</v>
      </c>
      <c r="H496" s="35"/>
      <c r="I496" s="35"/>
      <c r="J496" s="35"/>
      <c r="K496" s="35"/>
      <c r="L496" s="35"/>
      <c r="M496" s="35"/>
    </row>
    <row r="497" spans="1:13" x14ac:dyDescent="0.3">
      <c r="A497" s="35"/>
      <c r="B497" s="35"/>
      <c r="C497" s="36">
        <v>46087.423043981478</v>
      </c>
      <c r="D497" s="35" t="s">
        <v>362</v>
      </c>
      <c r="E497" s="35" t="s">
        <v>95</v>
      </c>
      <c r="F497" s="35">
        <v>0</v>
      </c>
      <c r="G497" s="35" t="s">
        <v>840</v>
      </c>
      <c r="H497" s="35"/>
      <c r="I497" s="35"/>
      <c r="J497" s="35"/>
      <c r="K497" s="35"/>
      <c r="L497" s="35"/>
      <c r="M497" s="35"/>
    </row>
    <row r="498" spans="1:13" x14ac:dyDescent="0.3">
      <c r="A498" s="35"/>
      <c r="B498" s="35"/>
      <c r="C498" s="36">
        <v>46087.423067129632</v>
      </c>
      <c r="D498" s="35" t="s">
        <v>362</v>
      </c>
      <c r="E498" s="35" t="s">
        <v>95</v>
      </c>
      <c r="F498" s="35">
        <v>0</v>
      </c>
      <c r="G498" s="35" t="s">
        <v>841</v>
      </c>
      <c r="H498" s="35"/>
      <c r="I498" s="35"/>
      <c r="J498" s="35"/>
      <c r="K498" s="35"/>
      <c r="L498" s="35"/>
      <c r="M498" s="35"/>
    </row>
    <row r="499" spans="1:13" x14ac:dyDescent="0.3">
      <c r="A499" s="35"/>
      <c r="B499" s="35"/>
      <c r="C499" s="36">
        <v>46087.423136574071</v>
      </c>
      <c r="D499" s="35" t="s">
        <v>362</v>
      </c>
      <c r="E499" s="35" t="s">
        <v>95</v>
      </c>
      <c r="F499" s="35">
        <v>0</v>
      </c>
      <c r="G499" s="35" t="s">
        <v>842</v>
      </c>
      <c r="H499" s="35"/>
      <c r="I499" s="35"/>
      <c r="J499" s="35"/>
      <c r="K499" s="35"/>
      <c r="L499" s="35"/>
      <c r="M499" s="35"/>
    </row>
    <row r="500" spans="1:13" x14ac:dyDescent="0.3">
      <c r="A500" s="35"/>
      <c r="B500" s="35"/>
      <c r="C500" s="36">
        <v>46087.423298611109</v>
      </c>
      <c r="D500" s="35" t="s">
        <v>362</v>
      </c>
      <c r="E500" s="35" t="s">
        <v>95</v>
      </c>
      <c r="F500" s="35">
        <v>0</v>
      </c>
      <c r="G500" s="35" t="s">
        <v>843</v>
      </c>
      <c r="H500" s="35"/>
      <c r="I500" s="35"/>
      <c r="J500" s="35"/>
      <c r="K500" s="35"/>
      <c r="L500" s="35"/>
      <c r="M500" s="35"/>
    </row>
    <row r="501" spans="1:13" x14ac:dyDescent="0.3">
      <c r="A501" s="35"/>
      <c r="B501" s="35"/>
      <c r="C501" s="36">
        <v>46087.423564814817</v>
      </c>
      <c r="D501" s="35" t="s">
        <v>362</v>
      </c>
      <c r="E501" s="35" t="s">
        <v>95</v>
      </c>
      <c r="F501" s="35">
        <v>0</v>
      </c>
      <c r="G501" s="35" t="s">
        <v>844</v>
      </c>
      <c r="H501" s="35"/>
      <c r="I501" s="35"/>
      <c r="J501" s="35"/>
      <c r="K501" s="35"/>
      <c r="L501" s="35"/>
      <c r="M501" s="35"/>
    </row>
    <row r="502" spans="1:13" x14ac:dyDescent="0.3">
      <c r="A502" s="35"/>
      <c r="B502" s="35"/>
      <c r="C502" s="36">
        <v>46087.423657407409</v>
      </c>
      <c r="D502" s="35" t="s">
        <v>362</v>
      </c>
      <c r="E502" s="35" t="s">
        <v>95</v>
      </c>
      <c r="F502" s="35">
        <v>0</v>
      </c>
      <c r="G502" s="35" t="s">
        <v>845</v>
      </c>
      <c r="H502" s="35"/>
      <c r="I502" s="35"/>
      <c r="J502" s="35"/>
      <c r="K502" s="35"/>
      <c r="L502" s="35"/>
      <c r="M502" s="35"/>
    </row>
    <row r="503" spans="1:13" x14ac:dyDescent="0.3">
      <c r="A503" s="35"/>
      <c r="B503" s="35"/>
      <c r="C503" s="36">
        <v>46087.423981481479</v>
      </c>
      <c r="D503" s="35" t="s">
        <v>362</v>
      </c>
      <c r="E503" s="35" t="s">
        <v>95</v>
      </c>
      <c r="F503" s="35">
        <v>0</v>
      </c>
      <c r="G503" s="35" t="s">
        <v>846</v>
      </c>
      <c r="H503" s="35"/>
      <c r="I503" s="35"/>
      <c r="J503" s="35"/>
      <c r="K503" s="35"/>
      <c r="L503" s="35"/>
      <c r="M503" s="35"/>
    </row>
    <row r="504" spans="1:13" x14ac:dyDescent="0.3">
      <c r="A504" s="35"/>
      <c r="B504" s="35"/>
      <c r="C504" s="36">
        <v>46087.424062500002</v>
      </c>
      <c r="D504" s="35" t="s">
        <v>362</v>
      </c>
      <c r="E504" s="35" t="s">
        <v>95</v>
      </c>
      <c r="F504" s="35">
        <v>0</v>
      </c>
      <c r="G504" s="35" t="s">
        <v>847</v>
      </c>
      <c r="H504" s="35"/>
      <c r="I504" s="35"/>
      <c r="J504" s="35"/>
      <c r="K504" s="35"/>
      <c r="L504" s="35"/>
      <c r="M504" s="35"/>
    </row>
    <row r="505" spans="1:13" x14ac:dyDescent="0.3">
      <c r="A505" s="35"/>
      <c r="B505" s="35"/>
      <c r="C505" s="36">
        <v>46087.424155092594</v>
      </c>
      <c r="D505" s="35" t="s">
        <v>362</v>
      </c>
      <c r="E505" s="35" t="s">
        <v>95</v>
      </c>
      <c r="F505" s="35">
        <v>0</v>
      </c>
      <c r="G505" s="35" t="s">
        <v>848</v>
      </c>
      <c r="H505" s="35"/>
      <c r="I505" s="35"/>
      <c r="J505" s="35"/>
      <c r="K505" s="35"/>
      <c r="L505" s="35"/>
      <c r="M505" s="35"/>
    </row>
    <row r="506" spans="1:13" x14ac:dyDescent="0.3">
      <c r="A506" s="35"/>
      <c r="B506" s="35"/>
      <c r="C506" s="36">
        <v>46087.424618055556</v>
      </c>
      <c r="D506" s="35" t="s">
        <v>362</v>
      </c>
      <c r="E506" s="35" t="s">
        <v>95</v>
      </c>
      <c r="F506" s="35">
        <v>0</v>
      </c>
      <c r="G506" s="35" t="s">
        <v>849</v>
      </c>
      <c r="H506" s="35"/>
      <c r="I506" s="35"/>
      <c r="J506" s="35"/>
      <c r="K506" s="35"/>
      <c r="L506" s="35"/>
      <c r="M506" s="35"/>
    </row>
    <row r="507" spans="1:13" x14ac:dyDescent="0.3">
      <c r="A507" s="35"/>
      <c r="B507" s="35"/>
      <c r="C507" s="36">
        <v>46087.42465277778</v>
      </c>
      <c r="D507" s="35" t="s">
        <v>362</v>
      </c>
      <c r="E507" s="35" t="s">
        <v>95</v>
      </c>
      <c r="F507" s="35">
        <v>0</v>
      </c>
      <c r="G507" s="35" t="s">
        <v>850</v>
      </c>
      <c r="H507" s="35"/>
      <c r="I507" s="35"/>
      <c r="J507" s="35"/>
      <c r="K507" s="35"/>
      <c r="L507" s="35"/>
      <c r="M507" s="35"/>
    </row>
    <row r="508" spans="1:13" x14ac:dyDescent="0.3">
      <c r="A508" s="35"/>
      <c r="B508" s="35"/>
      <c r="C508" s="36">
        <v>46087.425104166665</v>
      </c>
      <c r="D508" s="35" t="s">
        <v>362</v>
      </c>
      <c r="E508" s="35" t="s">
        <v>95</v>
      </c>
      <c r="F508" s="35">
        <v>0</v>
      </c>
      <c r="G508" s="35" t="s">
        <v>851</v>
      </c>
      <c r="H508" s="35"/>
      <c r="I508" s="35"/>
      <c r="J508" s="35"/>
      <c r="K508" s="35"/>
      <c r="L508" s="35"/>
      <c r="M508" s="35"/>
    </row>
    <row r="509" spans="1:13" x14ac:dyDescent="0.3">
      <c r="A509" s="35"/>
      <c r="B509" s="35"/>
      <c r="C509" s="36">
        <v>46087.425243055557</v>
      </c>
      <c r="D509" s="35" t="s">
        <v>350</v>
      </c>
      <c r="E509" s="35" t="s">
        <v>95</v>
      </c>
      <c r="F509" s="35">
        <v>0</v>
      </c>
      <c r="G509" s="35" t="s">
        <v>852</v>
      </c>
      <c r="H509" s="35"/>
      <c r="I509" s="35"/>
      <c r="J509" s="35"/>
      <c r="K509" s="35"/>
      <c r="L509" s="35"/>
      <c r="M509" s="35"/>
    </row>
    <row r="510" spans="1:13" x14ac:dyDescent="0.3">
      <c r="A510" s="35"/>
      <c r="B510" s="35"/>
      <c r="C510" s="36">
        <v>46087.42527777778</v>
      </c>
      <c r="D510" s="35" t="s">
        <v>362</v>
      </c>
      <c r="E510" s="35" t="s">
        <v>95</v>
      </c>
      <c r="F510" s="35">
        <v>0</v>
      </c>
      <c r="G510" s="35" t="s">
        <v>695</v>
      </c>
      <c r="H510" s="35"/>
      <c r="I510" s="35"/>
      <c r="J510" s="35"/>
      <c r="K510" s="35"/>
      <c r="L510" s="35"/>
      <c r="M510" s="35"/>
    </row>
    <row r="511" spans="1:13" x14ac:dyDescent="0.3">
      <c r="A511" s="35"/>
      <c r="B511" s="35"/>
      <c r="C511" s="36">
        <v>46087.425532407404</v>
      </c>
      <c r="D511" s="35" t="s">
        <v>362</v>
      </c>
      <c r="E511" s="35" t="s">
        <v>95</v>
      </c>
      <c r="F511" s="35">
        <v>0</v>
      </c>
      <c r="G511" s="35" t="s">
        <v>853</v>
      </c>
      <c r="H511" s="35"/>
      <c r="I511" s="35"/>
      <c r="J511" s="35"/>
      <c r="K511" s="35"/>
      <c r="L511" s="35"/>
      <c r="M511" s="35"/>
    </row>
    <row r="512" spans="1:13" x14ac:dyDescent="0.3">
      <c r="A512" s="35"/>
      <c r="B512" s="35"/>
      <c r="C512" s="36">
        <v>46087.425706018519</v>
      </c>
      <c r="D512" s="35" t="s">
        <v>362</v>
      </c>
      <c r="E512" s="35" t="s">
        <v>95</v>
      </c>
      <c r="F512" s="35">
        <v>0</v>
      </c>
      <c r="G512" s="35" t="s">
        <v>854</v>
      </c>
      <c r="H512" s="35"/>
      <c r="I512" s="35"/>
      <c r="J512" s="35"/>
      <c r="K512" s="35"/>
      <c r="L512" s="35"/>
      <c r="M512" s="35"/>
    </row>
    <row r="513" spans="1:13" x14ac:dyDescent="0.3">
      <c r="A513" s="35"/>
      <c r="B513" s="35"/>
      <c r="C513" s="36">
        <v>46087.425729166665</v>
      </c>
      <c r="D513" s="35" t="s">
        <v>362</v>
      </c>
      <c r="E513" s="35" t="s">
        <v>95</v>
      </c>
      <c r="F513" s="35">
        <v>0</v>
      </c>
      <c r="G513" s="35" t="s">
        <v>855</v>
      </c>
      <c r="H513" s="35"/>
      <c r="I513" s="35"/>
      <c r="J513" s="35"/>
      <c r="K513" s="35"/>
      <c r="L513" s="35"/>
      <c r="M513" s="35"/>
    </row>
    <row r="514" spans="1:13" x14ac:dyDescent="0.3">
      <c r="A514" s="35"/>
      <c r="B514" s="35"/>
      <c r="C514" s="36">
        <v>46087.425925925927</v>
      </c>
      <c r="D514" s="35" t="s">
        <v>357</v>
      </c>
      <c r="E514" s="35" t="s">
        <v>95</v>
      </c>
      <c r="F514" s="35">
        <v>0</v>
      </c>
      <c r="G514" s="35" t="s">
        <v>856</v>
      </c>
      <c r="H514" s="35"/>
      <c r="I514" s="35"/>
      <c r="J514" s="35"/>
      <c r="K514" s="35"/>
      <c r="L514" s="35"/>
      <c r="M514" s="35"/>
    </row>
    <row r="515" spans="1:13" x14ac:dyDescent="0.3">
      <c r="A515" s="35"/>
      <c r="B515" s="35"/>
      <c r="C515" s="35"/>
      <c r="D515" s="35" t="s">
        <v>362</v>
      </c>
      <c r="E515" s="35" t="s">
        <v>95</v>
      </c>
      <c r="F515" s="35">
        <v>0</v>
      </c>
      <c r="G515" s="35" t="s">
        <v>857</v>
      </c>
      <c r="H515" s="35"/>
      <c r="I515" s="35"/>
      <c r="J515" s="35"/>
      <c r="K515" s="35"/>
      <c r="L515" s="35"/>
      <c r="M515" s="35"/>
    </row>
    <row r="516" spans="1:13" x14ac:dyDescent="0.3">
      <c r="A516" s="35"/>
      <c r="B516" s="35"/>
      <c r="C516" s="36">
        <v>46087.425983796296</v>
      </c>
      <c r="D516" s="35" t="s">
        <v>362</v>
      </c>
      <c r="E516" s="35" t="s">
        <v>95</v>
      </c>
      <c r="F516" s="35">
        <v>0</v>
      </c>
      <c r="G516" s="35" t="s">
        <v>858</v>
      </c>
      <c r="H516" s="35"/>
      <c r="I516" s="35"/>
      <c r="J516" s="35"/>
      <c r="K516" s="35"/>
      <c r="L516" s="35"/>
      <c r="M516" s="35"/>
    </row>
    <row r="517" spans="1:13" x14ac:dyDescent="0.3">
      <c r="A517" s="35"/>
      <c r="B517" s="35"/>
      <c r="C517" s="36">
        <v>46087.426134259258</v>
      </c>
      <c r="D517" s="35" t="s">
        <v>362</v>
      </c>
      <c r="E517" s="35" t="s">
        <v>95</v>
      </c>
      <c r="F517" s="35">
        <v>0</v>
      </c>
      <c r="G517" s="35" t="s">
        <v>859</v>
      </c>
      <c r="H517" s="35"/>
      <c r="I517" s="35"/>
      <c r="J517" s="35"/>
      <c r="K517" s="35"/>
      <c r="L517" s="35"/>
      <c r="M517" s="35"/>
    </row>
    <row r="518" spans="1:13" x14ac:dyDescent="0.3">
      <c r="A518" s="35"/>
      <c r="B518" s="35"/>
      <c r="C518" s="36">
        <v>46087.426168981481</v>
      </c>
      <c r="D518" s="35" t="s">
        <v>362</v>
      </c>
      <c r="E518" s="35" t="s">
        <v>95</v>
      </c>
      <c r="F518" s="35">
        <v>0</v>
      </c>
      <c r="G518" s="35" t="s">
        <v>860</v>
      </c>
      <c r="H518" s="35"/>
      <c r="I518" s="35"/>
      <c r="J518" s="35"/>
      <c r="K518" s="35"/>
      <c r="L518" s="35"/>
      <c r="M518" s="35"/>
    </row>
    <row r="519" spans="1:13" x14ac:dyDescent="0.3">
      <c r="A519" s="35"/>
      <c r="B519" s="35"/>
      <c r="C519" s="36">
        <v>46087.42628472222</v>
      </c>
      <c r="D519" s="35" t="s">
        <v>362</v>
      </c>
      <c r="E519" s="35" t="s">
        <v>95</v>
      </c>
      <c r="F519" s="35">
        <v>0</v>
      </c>
      <c r="G519" s="35" t="s">
        <v>861</v>
      </c>
      <c r="H519" s="35"/>
      <c r="I519" s="35"/>
      <c r="J519" s="35"/>
      <c r="K519" s="35"/>
      <c r="L519" s="35"/>
      <c r="M519" s="35"/>
    </row>
    <row r="520" spans="1:13" x14ac:dyDescent="0.3">
      <c r="A520" s="35"/>
      <c r="B520" s="35"/>
      <c r="C520" s="36">
        <v>46087.426342592589</v>
      </c>
      <c r="D520" s="35" t="s">
        <v>362</v>
      </c>
      <c r="E520" s="35" t="s">
        <v>95</v>
      </c>
      <c r="F520" s="35">
        <v>0</v>
      </c>
      <c r="G520" s="35" t="s">
        <v>862</v>
      </c>
      <c r="H520" s="35"/>
      <c r="I520" s="35"/>
      <c r="J520" s="35"/>
      <c r="K520" s="35"/>
      <c r="L520" s="35"/>
      <c r="M520" s="35"/>
    </row>
    <row r="521" spans="1:13" x14ac:dyDescent="0.3">
      <c r="A521" s="35"/>
      <c r="B521" s="35"/>
      <c r="C521" s="36">
        <v>46087.426412037035</v>
      </c>
      <c r="D521" s="35" t="s">
        <v>362</v>
      </c>
      <c r="E521" s="35" t="s">
        <v>95</v>
      </c>
      <c r="F521" s="35">
        <v>0</v>
      </c>
      <c r="G521" s="35" t="s">
        <v>863</v>
      </c>
      <c r="H521" s="35"/>
      <c r="I521" s="35"/>
      <c r="J521" s="35"/>
      <c r="K521" s="35"/>
      <c r="L521" s="35"/>
      <c r="M521" s="35"/>
    </row>
    <row r="522" spans="1:13" x14ac:dyDescent="0.3">
      <c r="A522" s="35"/>
      <c r="B522" s="35"/>
      <c r="C522" s="36">
        <v>46087.426423611112</v>
      </c>
      <c r="D522" s="35" t="s">
        <v>362</v>
      </c>
      <c r="E522" s="35" t="s">
        <v>95</v>
      </c>
      <c r="F522" s="35">
        <v>0</v>
      </c>
      <c r="G522" s="35" t="s">
        <v>864</v>
      </c>
      <c r="H522" s="35"/>
      <c r="I522" s="35"/>
      <c r="J522" s="35"/>
      <c r="K522" s="35"/>
      <c r="L522" s="35"/>
      <c r="M522" s="35"/>
    </row>
    <row r="523" spans="1:13" x14ac:dyDescent="0.3">
      <c r="A523" s="35"/>
      <c r="B523" s="35"/>
      <c r="C523" s="36">
        <v>46087.42690972222</v>
      </c>
      <c r="D523" s="35" t="s">
        <v>362</v>
      </c>
      <c r="E523" s="35" t="s">
        <v>95</v>
      </c>
      <c r="F523" s="35">
        <v>0</v>
      </c>
      <c r="G523" s="35" t="s">
        <v>865</v>
      </c>
      <c r="H523" s="35"/>
      <c r="I523" s="35"/>
      <c r="J523" s="35"/>
      <c r="K523" s="35"/>
      <c r="L523" s="35"/>
      <c r="M523" s="35"/>
    </row>
    <row r="524" spans="1:13" x14ac:dyDescent="0.3">
      <c r="A524" s="35"/>
      <c r="B524" s="35"/>
      <c r="C524" s="36">
        <v>46087.427060185182</v>
      </c>
      <c r="D524" s="35" t="s">
        <v>362</v>
      </c>
      <c r="E524" s="35" t="s">
        <v>95</v>
      </c>
      <c r="F524" s="35">
        <v>0</v>
      </c>
      <c r="G524" s="35" t="s">
        <v>866</v>
      </c>
      <c r="H524" s="35"/>
      <c r="I524" s="35"/>
      <c r="J524" s="35"/>
      <c r="K524" s="35"/>
      <c r="L524" s="35"/>
      <c r="M524" s="35"/>
    </row>
    <row r="525" spans="1:13" x14ac:dyDescent="0.3">
      <c r="A525" s="35"/>
      <c r="B525" s="35"/>
      <c r="C525" s="36">
        <v>46087.427164351851</v>
      </c>
      <c r="D525" s="35" t="s">
        <v>362</v>
      </c>
      <c r="E525" s="35" t="s">
        <v>95</v>
      </c>
      <c r="F525" s="35">
        <v>0</v>
      </c>
      <c r="G525" s="35" t="s">
        <v>867</v>
      </c>
      <c r="H525" s="35"/>
      <c r="I525" s="35"/>
      <c r="J525" s="35"/>
      <c r="K525" s="35"/>
      <c r="L525" s="35"/>
      <c r="M525" s="35"/>
    </row>
    <row r="526" spans="1:13" x14ac:dyDescent="0.3">
      <c r="A526" s="35"/>
      <c r="B526" s="35"/>
      <c r="C526" s="36">
        <v>46087.427245370367</v>
      </c>
      <c r="D526" s="35" t="s">
        <v>362</v>
      </c>
      <c r="E526" s="35" t="s">
        <v>95</v>
      </c>
      <c r="F526" s="35">
        <v>0</v>
      </c>
      <c r="G526" s="35" t="s">
        <v>868</v>
      </c>
      <c r="H526" s="35"/>
      <c r="I526" s="35"/>
      <c r="J526" s="35"/>
      <c r="K526" s="35"/>
      <c r="L526" s="35"/>
      <c r="M526" s="35"/>
    </row>
    <row r="527" spans="1:13" x14ac:dyDescent="0.3">
      <c r="A527" s="35"/>
      <c r="B527" s="35"/>
      <c r="C527" s="36">
        <v>46087.427384259259</v>
      </c>
      <c r="D527" s="35" t="s">
        <v>362</v>
      </c>
      <c r="E527" s="35" t="s">
        <v>95</v>
      </c>
      <c r="F527" s="35">
        <v>0</v>
      </c>
      <c r="G527" s="35" t="s">
        <v>869</v>
      </c>
      <c r="H527" s="35"/>
      <c r="I527" s="35"/>
      <c r="J527" s="35"/>
      <c r="K527" s="35"/>
      <c r="L527" s="35"/>
      <c r="M527" s="35"/>
    </row>
    <row r="528" spans="1:13" x14ac:dyDescent="0.3">
      <c r="A528" s="35"/>
      <c r="B528" s="35"/>
      <c r="C528" s="36">
        <v>46087.427511574075</v>
      </c>
      <c r="D528" s="35" t="s">
        <v>362</v>
      </c>
      <c r="E528" s="35" t="s">
        <v>95</v>
      </c>
      <c r="F528" s="35">
        <v>0</v>
      </c>
      <c r="G528" s="35" t="s">
        <v>870</v>
      </c>
      <c r="H528" s="35"/>
      <c r="I528" s="35"/>
      <c r="J528" s="35"/>
      <c r="K528" s="35"/>
      <c r="L528" s="35"/>
      <c r="M528" s="35"/>
    </row>
    <row r="529" spans="1:13" x14ac:dyDescent="0.3">
      <c r="A529" s="35"/>
      <c r="B529" s="35"/>
      <c r="C529" s="36">
        <v>46087.427569444444</v>
      </c>
      <c r="D529" s="35" t="s">
        <v>362</v>
      </c>
      <c r="E529" s="35" t="s">
        <v>95</v>
      </c>
      <c r="F529" s="35">
        <v>0</v>
      </c>
      <c r="G529" s="35" t="s">
        <v>871</v>
      </c>
      <c r="H529" s="35"/>
      <c r="I529" s="35"/>
      <c r="J529" s="35"/>
      <c r="K529" s="35"/>
      <c r="L529" s="35"/>
      <c r="M529" s="35"/>
    </row>
    <row r="530" spans="1:13" x14ac:dyDescent="0.3">
      <c r="A530" s="35"/>
      <c r="B530" s="35"/>
      <c r="C530" s="36">
        <v>46087.427673611113</v>
      </c>
      <c r="D530" s="35" t="s">
        <v>362</v>
      </c>
      <c r="E530" s="35" t="s">
        <v>95</v>
      </c>
      <c r="F530" s="35">
        <v>0</v>
      </c>
      <c r="G530" s="35" t="s">
        <v>872</v>
      </c>
      <c r="H530" s="35"/>
      <c r="I530" s="35"/>
      <c r="J530" s="35"/>
      <c r="K530" s="35"/>
      <c r="L530" s="35"/>
      <c r="M530" s="35"/>
    </row>
    <row r="531" spans="1:13" x14ac:dyDescent="0.3">
      <c r="A531" s="35"/>
      <c r="B531" s="35"/>
      <c r="C531" s="36">
        <v>46087.428206018521</v>
      </c>
      <c r="D531" s="35" t="s">
        <v>362</v>
      </c>
      <c r="E531" s="35" t="s">
        <v>95</v>
      </c>
      <c r="F531" s="35">
        <v>0</v>
      </c>
      <c r="G531" s="35" t="s">
        <v>873</v>
      </c>
      <c r="H531" s="35"/>
      <c r="I531" s="35"/>
      <c r="J531" s="35"/>
      <c r="K531" s="35"/>
      <c r="L531" s="35"/>
      <c r="M531" s="35"/>
    </row>
    <row r="532" spans="1:13" x14ac:dyDescent="0.3">
      <c r="A532" s="35"/>
      <c r="B532" s="35"/>
      <c r="C532" s="36">
        <v>46087.428252314814</v>
      </c>
      <c r="D532" s="35" t="s">
        <v>362</v>
      </c>
      <c r="E532" s="35" t="s">
        <v>95</v>
      </c>
      <c r="F532" s="35">
        <v>0</v>
      </c>
      <c r="G532" s="35" t="s">
        <v>874</v>
      </c>
      <c r="H532" s="35"/>
      <c r="I532" s="35"/>
      <c r="J532" s="35"/>
      <c r="K532" s="35"/>
      <c r="L532" s="35"/>
      <c r="M532" s="35"/>
    </row>
    <row r="533" spans="1:13" x14ac:dyDescent="0.3">
      <c r="A533" s="35"/>
      <c r="B533" s="35"/>
      <c r="C533" s="36">
        <v>46087.428530092591</v>
      </c>
      <c r="D533" s="35" t="s">
        <v>362</v>
      </c>
      <c r="E533" s="35" t="s">
        <v>95</v>
      </c>
      <c r="F533" s="35">
        <v>0</v>
      </c>
      <c r="G533" s="35" t="s">
        <v>875</v>
      </c>
      <c r="H533" s="35"/>
      <c r="I533" s="35"/>
      <c r="J533" s="35"/>
      <c r="K533" s="35"/>
      <c r="L533" s="35"/>
      <c r="M533" s="35"/>
    </row>
    <row r="534" spans="1:13" x14ac:dyDescent="0.3">
      <c r="A534" s="35"/>
      <c r="B534" s="35"/>
      <c r="C534" s="36">
        <v>46087.42863425926</v>
      </c>
      <c r="D534" s="35" t="s">
        <v>362</v>
      </c>
      <c r="E534" s="35" t="s">
        <v>95</v>
      </c>
      <c r="F534" s="35">
        <v>0</v>
      </c>
      <c r="G534" s="35" t="s">
        <v>876</v>
      </c>
      <c r="H534" s="35"/>
      <c r="I534" s="35"/>
      <c r="J534" s="35"/>
      <c r="K534" s="35"/>
      <c r="L534" s="35"/>
      <c r="M534" s="35"/>
    </row>
    <row r="535" spans="1:13" x14ac:dyDescent="0.3">
      <c r="A535" s="35"/>
      <c r="B535" s="35"/>
      <c r="C535" s="36">
        <v>46087.42864583333</v>
      </c>
      <c r="D535" s="35" t="s">
        <v>362</v>
      </c>
      <c r="E535" s="35" t="s">
        <v>95</v>
      </c>
      <c r="F535" s="35">
        <v>0</v>
      </c>
      <c r="G535" s="35" t="s">
        <v>877</v>
      </c>
      <c r="H535" s="35"/>
      <c r="I535" s="35"/>
      <c r="J535" s="35"/>
      <c r="K535" s="35"/>
      <c r="L535" s="35"/>
      <c r="M535" s="35"/>
    </row>
    <row r="536" spans="1:13" x14ac:dyDescent="0.3">
      <c r="A536" s="35"/>
      <c r="B536" s="35"/>
      <c r="C536" s="36">
        <v>46087.428888888891</v>
      </c>
      <c r="D536" s="35" t="s">
        <v>362</v>
      </c>
      <c r="E536" s="35" t="s">
        <v>95</v>
      </c>
      <c r="F536" s="35">
        <v>0</v>
      </c>
      <c r="G536" s="35" t="s">
        <v>878</v>
      </c>
      <c r="H536" s="35"/>
      <c r="I536" s="35"/>
      <c r="J536" s="35"/>
      <c r="K536" s="35"/>
      <c r="L536" s="35"/>
      <c r="M536" s="35"/>
    </row>
    <row r="537" spans="1:13" x14ac:dyDescent="0.3">
      <c r="A537" s="35"/>
      <c r="B537" s="35"/>
      <c r="C537" s="36">
        <v>46087.42895833333</v>
      </c>
      <c r="D537" s="35" t="s">
        <v>350</v>
      </c>
      <c r="E537" s="35" t="s">
        <v>95</v>
      </c>
      <c r="F537" s="35">
        <v>0</v>
      </c>
      <c r="G537" s="35" t="s">
        <v>879</v>
      </c>
      <c r="H537" s="35"/>
      <c r="I537" s="35"/>
      <c r="J537" s="35"/>
      <c r="K537" s="35"/>
      <c r="L537" s="35"/>
      <c r="M537" s="35"/>
    </row>
    <row r="538" spans="1:13" x14ac:dyDescent="0.3">
      <c r="A538" s="35"/>
      <c r="B538" s="35"/>
      <c r="C538" s="35"/>
      <c r="D538" s="35" t="s">
        <v>362</v>
      </c>
      <c r="E538" s="35" t="s">
        <v>95</v>
      </c>
      <c r="F538" s="35">
        <v>0</v>
      </c>
      <c r="G538" s="35" t="s">
        <v>880</v>
      </c>
      <c r="H538" s="35"/>
      <c r="I538" s="35"/>
      <c r="J538" s="35"/>
      <c r="K538" s="35"/>
      <c r="L538" s="35"/>
      <c r="M538" s="35"/>
    </row>
    <row r="539" spans="1:13" x14ac:dyDescent="0.3">
      <c r="A539" s="35"/>
      <c r="B539" s="35"/>
      <c r="C539" s="36">
        <v>46087.428993055553</v>
      </c>
      <c r="D539" s="35" t="s">
        <v>362</v>
      </c>
      <c r="E539" s="35" t="s">
        <v>95</v>
      </c>
      <c r="F539" s="35">
        <v>0</v>
      </c>
      <c r="G539" s="35" t="s">
        <v>881</v>
      </c>
      <c r="H539" s="35"/>
      <c r="I539" s="35"/>
      <c r="J539" s="35"/>
      <c r="K539" s="35"/>
      <c r="L539" s="35"/>
      <c r="M539" s="35"/>
    </row>
    <row r="540" spans="1:13" x14ac:dyDescent="0.3">
      <c r="A540" s="35"/>
      <c r="B540" s="35"/>
      <c r="C540" s="36">
        <v>46087.429016203707</v>
      </c>
      <c r="D540" s="35" t="s">
        <v>362</v>
      </c>
      <c r="E540" s="35" t="s">
        <v>95</v>
      </c>
      <c r="F540" s="35">
        <v>0</v>
      </c>
      <c r="G540" s="35" t="s">
        <v>882</v>
      </c>
      <c r="H540" s="35"/>
      <c r="I540" s="35"/>
      <c r="J540" s="35"/>
      <c r="K540" s="35"/>
      <c r="L540" s="35"/>
      <c r="M540" s="35"/>
    </row>
    <row r="541" spans="1:13" x14ac:dyDescent="0.3">
      <c r="A541" s="35"/>
      <c r="B541" s="35"/>
      <c r="C541" s="36">
        <v>46087.429085648146</v>
      </c>
      <c r="D541" s="35" t="s">
        <v>362</v>
      </c>
      <c r="E541" s="35" t="s">
        <v>95</v>
      </c>
      <c r="F541" s="35">
        <v>0</v>
      </c>
      <c r="G541" s="35" t="s">
        <v>883</v>
      </c>
      <c r="H541" s="35"/>
      <c r="I541" s="35"/>
      <c r="J541" s="35"/>
      <c r="K541" s="35"/>
      <c r="L541" s="35"/>
      <c r="M541" s="35"/>
    </row>
    <row r="542" spans="1:13" x14ac:dyDescent="0.3">
      <c r="A542" s="35"/>
      <c r="B542" s="35"/>
      <c r="C542" s="36">
        <v>46087.429120370369</v>
      </c>
      <c r="D542" s="35" t="s">
        <v>362</v>
      </c>
      <c r="E542" s="35" t="s">
        <v>95</v>
      </c>
      <c r="F542" s="35">
        <v>0</v>
      </c>
      <c r="G542" s="35" t="s">
        <v>884</v>
      </c>
      <c r="H542" s="35"/>
      <c r="I542" s="35"/>
      <c r="J542" s="35"/>
      <c r="K542" s="35"/>
      <c r="L542" s="35"/>
      <c r="M542" s="35"/>
    </row>
    <row r="543" spans="1:13" x14ac:dyDescent="0.3">
      <c r="A543" s="35"/>
      <c r="B543" s="35"/>
      <c r="C543" s="36">
        <v>46087.429131944446</v>
      </c>
      <c r="D543" s="35" t="s">
        <v>362</v>
      </c>
      <c r="E543" s="35" t="s">
        <v>95</v>
      </c>
      <c r="F543" s="35">
        <v>0</v>
      </c>
      <c r="G543" s="35" t="s">
        <v>885</v>
      </c>
      <c r="H543" s="35"/>
      <c r="I543" s="35"/>
      <c r="J543" s="35"/>
      <c r="K543" s="35"/>
      <c r="L543" s="35"/>
      <c r="M543" s="35"/>
    </row>
    <row r="544" spans="1:13" x14ac:dyDescent="0.3">
      <c r="A544" s="35"/>
      <c r="B544" s="35"/>
      <c r="C544" s="36">
        <v>46087.4294212963</v>
      </c>
      <c r="D544" s="35" t="s">
        <v>350</v>
      </c>
      <c r="E544" s="35" t="s">
        <v>95</v>
      </c>
      <c r="F544" s="35">
        <v>0</v>
      </c>
      <c r="G544" s="35" t="s">
        <v>886</v>
      </c>
      <c r="H544" s="35"/>
      <c r="I544" s="35"/>
      <c r="J544" s="35"/>
      <c r="K544" s="35"/>
      <c r="L544" s="35"/>
      <c r="M544" s="35"/>
    </row>
    <row r="545" spans="1:13" x14ac:dyDescent="0.3">
      <c r="A545" s="35"/>
      <c r="B545" s="35"/>
      <c r="C545" s="36">
        <v>46087.429525462961</v>
      </c>
      <c r="D545" s="35" t="s">
        <v>362</v>
      </c>
      <c r="E545" s="35" t="s">
        <v>95</v>
      </c>
      <c r="F545" s="35">
        <v>0</v>
      </c>
      <c r="G545" s="35" t="s">
        <v>887</v>
      </c>
      <c r="H545" s="35"/>
      <c r="I545" s="35"/>
      <c r="J545" s="35"/>
      <c r="K545" s="35"/>
      <c r="L545" s="35"/>
      <c r="M545" s="35"/>
    </row>
    <row r="546" spans="1:13" x14ac:dyDescent="0.3">
      <c r="A546" s="35"/>
      <c r="B546" s="35"/>
      <c r="C546" s="36">
        <v>46087.429548611108</v>
      </c>
      <c r="D546" s="35" t="s">
        <v>362</v>
      </c>
      <c r="E546" s="35" t="s">
        <v>95</v>
      </c>
      <c r="F546" s="35">
        <v>0</v>
      </c>
      <c r="G546" s="35" t="s">
        <v>888</v>
      </c>
      <c r="H546" s="35"/>
      <c r="I546" s="35"/>
      <c r="J546" s="35"/>
      <c r="K546" s="35"/>
      <c r="L546" s="35"/>
      <c r="M546" s="35"/>
    </row>
    <row r="547" spans="1:13" x14ac:dyDescent="0.3">
      <c r="A547" s="35"/>
      <c r="B547" s="35"/>
      <c r="C547" s="36">
        <v>46087.429780092592</v>
      </c>
      <c r="D547" s="35" t="s">
        <v>362</v>
      </c>
      <c r="E547" s="35" t="s">
        <v>95</v>
      </c>
      <c r="F547" s="35">
        <v>0</v>
      </c>
      <c r="G547" s="35" t="s">
        <v>889</v>
      </c>
      <c r="H547" s="35"/>
      <c r="I547" s="35"/>
      <c r="J547" s="35"/>
      <c r="K547" s="35"/>
      <c r="L547" s="35"/>
      <c r="M547" s="35"/>
    </row>
    <row r="548" spans="1:13" x14ac:dyDescent="0.3">
      <c r="A548" s="35"/>
      <c r="B548" s="35"/>
      <c r="C548" s="36">
        <v>46087.429918981485</v>
      </c>
      <c r="D548" s="35" t="s">
        <v>362</v>
      </c>
      <c r="E548" s="35" t="s">
        <v>95</v>
      </c>
      <c r="F548" s="35">
        <v>0</v>
      </c>
      <c r="G548" s="35" t="s">
        <v>890</v>
      </c>
      <c r="H548" s="35"/>
      <c r="I548" s="35"/>
      <c r="J548" s="35"/>
      <c r="K548" s="35"/>
      <c r="L548" s="35"/>
      <c r="M548" s="35"/>
    </row>
    <row r="549" spans="1:13" x14ac:dyDescent="0.3">
      <c r="A549" s="35"/>
      <c r="B549" s="35"/>
      <c r="C549" s="36">
        <v>46087.4299537037</v>
      </c>
      <c r="D549" s="35" t="s">
        <v>362</v>
      </c>
      <c r="E549" s="35" t="s">
        <v>95</v>
      </c>
      <c r="F549" s="35">
        <v>0</v>
      </c>
      <c r="G549" s="35" t="s">
        <v>891</v>
      </c>
      <c r="H549" s="35"/>
      <c r="I549" s="35"/>
      <c r="J549" s="35"/>
      <c r="K549" s="35"/>
      <c r="L549" s="35"/>
      <c r="M549" s="35"/>
    </row>
    <row r="550" spans="1:13" x14ac:dyDescent="0.3">
      <c r="A550" s="35"/>
      <c r="B550" s="35"/>
      <c r="C550" s="36">
        <v>46087.430069444446</v>
      </c>
      <c r="D550" s="35" t="s">
        <v>362</v>
      </c>
      <c r="E550" s="35" t="s">
        <v>95</v>
      </c>
      <c r="F550" s="35">
        <v>0</v>
      </c>
      <c r="G550" s="35" t="s">
        <v>892</v>
      </c>
      <c r="H550" s="35"/>
      <c r="I550" s="35"/>
      <c r="J550" s="35"/>
      <c r="K550" s="35"/>
      <c r="L550" s="35"/>
      <c r="M550" s="35"/>
    </row>
    <row r="551" spans="1:13" x14ac:dyDescent="0.3">
      <c r="A551" s="35"/>
      <c r="B551" s="35"/>
      <c r="C551" s="36">
        <v>46087.430405092593</v>
      </c>
      <c r="D551" s="35" t="s">
        <v>362</v>
      </c>
      <c r="E551" s="35" t="s">
        <v>95</v>
      </c>
      <c r="F551" s="35">
        <v>0</v>
      </c>
      <c r="G551" s="35" t="s">
        <v>893</v>
      </c>
      <c r="H551" s="35"/>
      <c r="I551" s="35"/>
      <c r="J551" s="35"/>
      <c r="K551" s="35"/>
      <c r="L551" s="35"/>
      <c r="M551" s="35"/>
    </row>
    <row r="552" spans="1:13" x14ac:dyDescent="0.3">
      <c r="A552" s="35"/>
      <c r="B552" s="35"/>
      <c r="C552" s="36">
        <v>46087.43041666667</v>
      </c>
      <c r="D552" s="35" t="s">
        <v>362</v>
      </c>
      <c r="E552" s="35" t="s">
        <v>95</v>
      </c>
      <c r="F552" s="35">
        <v>0</v>
      </c>
      <c r="G552" s="35" t="s">
        <v>894</v>
      </c>
      <c r="H552" s="35"/>
      <c r="I552" s="35"/>
      <c r="J552" s="35"/>
      <c r="K552" s="35"/>
      <c r="L552" s="35"/>
      <c r="M552" s="35"/>
    </row>
    <row r="553" spans="1:13" x14ac:dyDescent="0.3">
      <c r="A553" s="35"/>
      <c r="B553" s="35"/>
      <c r="C553" s="36">
        <v>46087.430451388886</v>
      </c>
      <c r="D553" s="35" t="s">
        <v>362</v>
      </c>
      <c r="E553" s="35" t="s">
        <v>95</v>
      </c>
      <c r="F553" s="35">
        <v>0</v>
      </c>
      <c r="G553" s="35" t="s">
        <v>895</v>
      </c>
      <c r="H553" s="35"/>
      <c r="I553" s="35"/>
      <c r="J553" s="35"/>
      <c r="K553" s="35"/>
      <c r="L553" s="35"/>
      <c r="M553" s="35"/>
    </row>
    <row r="554" spans="1:13" x14ac:dyDescent="0.3">
      <c r="A554" s="35"/>
      <c r="B554" s="35"/>
      <c r="C554" s="36">
        <v>46087.430625000001</v>
      </c>
      <c r="D554" s="35" t="s">
        <v>362</v>
      </c>
      <c r="E554" s="35" t="s">
        <v>95</v>
      </c>
      <c r="F554" s="35">
        <v>0</v>
      </c>
      <c r="G554" s="35" t="s">
        <v>896</v>
      </c>
      <c r="H554" s="35"/>
      <c r="I554" s="35"/>
      <c r="J554" s="35"/>
      <c r="K554" s="35"/>
      <c r="L554" s="35"/>
      <c r="M554" s="35"/>
    </row>
    <row r="555" spans="1:13" x14ac:dyDescent="0.3">
      <c r="A555" s="35"/>
      <c r="B555" s="35"/>
      <c r="C555" s="36">
        <v>46087.430659722224</v>
      </c>
      <c r="D555" s="35" t="s">
        <v>362</v>
      </c>
      <c r="E555" s="35" t="s">
        <v>95</v>
      </c>
      <c r="F555" s="35">
        <v>0</v>
      </c>
      <c r="G555" s="35" t="s">
        <v>897</v>
      </c>
      <c r="H555" s="35"/>
      <c r="I555" s="35"/>
      <c r="J555" s="35"/>
      <c r="K555" s="35"/>
      <c r="L555" s="35"/>
      <c r="M555" s="35"/>
    </row>
    <row r="556" spans="1:13" x14ac:dyDescent="0.3">
      <c r="A556" s="35"/>
      <c r="B556" s="35"/>
      <c r="C556" s="36">
        <v>46087.430694444447</v>
      </c>
      <c r="D556" s="35" t="s">
        <v>362</v>
      </c>
      <c r="E556" s="35" t="s">
        <v>95</v>
      </c>
      <c r="F556" s="35">
        <v>0</v>
      </c>
      <c r="G556" s="35" t="s">
        <v>898</v>
      </c>
      <c r="H556" s="35"/>
      <c r="I556" s="35"/>
      <c r="J556" s="35"/>
      <c r="K556" s="35"/>
      <c r="L556" s="35"/>
      <c r="M556" s="35"/>
    </row>
    <row r="557" spans="1:13" x14ac:dyDescent="0.3">
      <c r="A557" s="35"/>
      <c r="B557" s="35"/>
      <c r="C557" s="36">
        <v>46087.431041666663</v>
      </c>
      <c r="D557" s="35" t="s">
        <v>350</v>
      </c>
      <c r="E557" s="35" t="s">
        <v>95</v>
      </c>
      <c r="F557" s="35">
        <v>0</v>
      </c>
      <c r="G557" s="35" t="s">
        <v>899</v>
      </c>
      <c r="H557" s="35"/>
      <c r="I557" s="35"/>
      <c r="J557" s="35"/>
      <c r="K557" s="35"/>
      <c r="L557" s="35"/>
      <c r="M557" s="35"/>
    </row>
    <row r="558" spans="1:13" x14ac:dyDescent="0.3">
      <c r="A558" s="35"/>
      <c r="B558" s="35"/>
      <c r="C558" s="36">
        <v>46087.431087962963</v>
      </c>
      <c r="D558" s="35" t="s">
        <v>362</v>
      </c>
      <c r="E558" s="35" t="s">
        <v>95</v>
      </c>
      <c r="F558" s="35">
        <v>0</v>
      </c>
      <c r="G558" s="35" t="s">
        <v>900</v>
      </c>
      <c r="H558" s="35"/>
      <c r="I558" s="35"/>
      <c r="J558" s="35"/>
      <c r="K558" s="35"/>
      <c r="L558" s="35"/>
      <c r="M558" s="35"/>
    </row>
    <row r="559" spans="1:13" x14ac:dyDescent="0.3">
      <c r="A559" s="35"/>
      <c r="B559" s="35"/>
      <c r="C559" s="36">
        <v>46087.431111111109</v>
      </c>
      <c r="D559" s="35" t="s">
        <v>362</v>
      </c>
      <c r="E559" s="35" t="s">
        <v>95</v>
      </c>
      <c r="F559" s="35">
        <v>0</v>
      </c>
      <c r="G559" s="35" t="s">
        <v>901</v>
      </c>
      <c r="H559" s="35"/>
      <c r="I559" s="35"/>
      <c r="J559" s="35"/>
      <c r="K559" s="35"/>
      <c r="L559" s="35"/>
      <c r="M559" s="35"/>
    </row>
    <row r="560" spans="1:13" x14ac:dyDescent="0.3">
      <c r="A560" s="35"/>
      <c r="B560" s="35"/>
      <c r="C560" s="36">
        <v>46087.431377314817</v>
      </c>
      <c r="D560" s="35" t="s">
        <v>362</v>
      </c>
      <c r="E560" s="35" t="s">
        <v>95</v>
      </c>
      <c r="F560" s="35">
        <v>0</v>
      </c>
      <c r="G560" s="35" t="s">
        <v>902</v>
      </c>
      <c r="H560" s="35"/>
      <c r="I560" s="35"/>
      <c r="J560" s="35"/>
      <c r="K560" s="35"/>
      <c r="L560" s="35"/>
      <c r="M560" s="35"/>
    </row>
    <row r="561" spans="1:13" x14ac:dyDescent="0.3">
      <c r="A561" s="35"/>
      <c r="B561" s="35"/>
      <c r="C561" s="36">
        <v>46087.431435185186</v>
      </c>
      <c r="D561" s="35" t="s">
        <v>362</v>
      </c>
      <c r="E561" s="35" t="s">
        <v>95</v>
      </c>
      <c r="F561" s="35">
        <v>0</v>
      </c>
      <c r="G561" s="35" t="s">
        <v>903</v>
      </c>
      <c r="H561" s="35"/>
      <c r="I561" s="35"/>
      <c r="J561" s="35"/>
      <c r="K561" s="35"/>
      <c r="L561" s="35"/>
      <c r="M561" s="35"/>
    </row>
    <row r="562" spans="1:13" x14ac:dyDescent="0.3">
      <c r="A562" s="35"/>
      <c r="B562" s="35"/>
      <c r="C562" s="36">
        <v>46087.431458333333</v>
      </c>
      <c r="D562" s="35" t="s">
        <v>362</v>
      </c>
      <c r="E562" s="35" t="s">
        <v>95</v>
      </c>
      <c r="F562" s="35">
        <v>0</v>
      </c>
      <c r="G562" s="35" t="s">
        <v>904</v>
      </c>
      <c r="H562" s="35"/>
      <c r="I562" s="35"/>
      <c r="J562" s="35"/>
      <c r="K562" s="35"/>
      <c r="L562" s="35"/>
      <c r="M562" s="35"/>
    </row>
    <row r="563" spans="1:13" x14ac:dyDescent="0.3">
      <c r="A563" s="35"/>
      <c r="B563" s="35"/>
      <c r="C563" s="36">
        <v>46087.431655092594</v>
      </c>
      <c r="D563" s="35" t="s">
        <v>362</v>
      </c>
      <c r="E563" s="35" t="s">
        <v>95</v>
      </c>
      <c r="F563" s="35">
        <v>0</v>
      </c>
      <c r="G563" s="35" t="s">
        <v>905</v>
      </c>
      <c r="H563" s="35"/>
      <c r="I563" s="35"/>
      <c r="J563" s="35"/>
      <c r="K563" s="35"/>
      <c r="L563" s="35"/>
      <c r="M563" s="35"/>
    </row>
    <row r="564" spans="1:13" x14ac:dyDescent="0.3">
      <c r="A564" s="35"/>
      <c r="B564" s="35"/>
      <c r="C564" s="36">
        <v>46087.43167824074</v>
      </c>
      <c r="D564" s="35" t="s">
        <v>362</v>
      </c>
      <c r="E564" s="35" t="s">
        <v>95</v>
      </c>
      <c r="F564" s="35">
        <v>0</v>
      </c>
      <c r="G564" s="35" t="s">
        <v>906</v>
      </c>
      <c r="H564" s="35"/>
      <c r="I564" s="35"/>
      <c r="J564" s="35"/>
      <c r="K564" s="35"/>
      <c r="L564" s="35"/>
      <c r="M564" s="35"/>
    </row>
  </sheetData>
  <mergeCells count="1">
    <mergeCell ref="A4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4"/>
  <sheetViews>
    <sheetView workbookViewId="0"/>
  </sheetViews>
  <sheetFormatPr defaultColWidth="8.85546875" defaultRowHeight="12.75" x14ac:dyDescent="0.2"/>
  <cols>
    <col min="1" max="8" width="30.140625" customWidth="1"/>
    <col min="9" max="10" width="30.140625" style="7" customWidth="1"/>
    <col min="11" max="26" width="30.140625" customWidth="1"/>
  </cols>
  <sheetData>
    <row r="1" spans="1:26" s="5" customFormat="1" x14ac:dyDescent="0.2">
      <c r="A1" s="5" t="s">
        <v>10</v>
      </c>
      <c r="B1" s="5" t="s">
        <v>230</v>
      </c>
      <c r="C1" s="5" t="s">
        <v>11</v>
      </c>
      <c r="D1" s="5" t="s">
        <v>12</v>
      </c>
      <c r="E1" s="5" t="s">
        <v>13</v>
      </c>
      <c r="F1" s="5" t="s">
        <v>61</v>
      </c>
      <c r="G1" s="5" t="s">
        <v>74</v>
      </c>
      <c r="H1" s="5" t="s">
        <v>81</v>
      </c>
      <c r="I1" s="6" t="s">
        <v>91</v>
      </c>
      <c r="J1" s="6" t="s">
        <v>106</v>
      </c>
      <c r="K1" s="5" t="s">
        <v>122</v>
      </c>
      <c r="L1" s="5" t="s">
        <v>146</v>
      </c>
      <c r="M1" s="6" t="s">
        <v>159</v>
      </c>
      <c r="N1" s="6" t="s">
        <v>160</v>
      </c>
      <c r="O1" s="5" t="s">
        <v>182</v>
      </c>
      <c r="P1" s="5" t="s">
        <v>210</v>
      </c>
      <c r="Q1" s="5" t="s">
        <v>222</v>
      </c>
      <c r="R1" s="5" t="s">
        <v>232</v>
      </c>
      <c r="S1" s="5" t="s">
        <v>246</v>
      </c>
      <c r="T1" s="5" t="s">
        <v>254</v>
      </c>
      <c r="U1" s="5" t="s">
        <v>255</v>
      </c>
      <c r="V1" s="5" t="s">
        <v>256</v>
      </c>
      <c r="W1" s="5" t="s">
        <v>257</v>
      </c>
      <c r="X1" s="5" t="s">
        <v>258</v>
      </c>
      <c r="Y1" s="5" t="s">
        <v>309</v>
      </c>
      <c r="Z1" s="5" t="s">
        <v>310</v>
      </c>
    </row>
    <row r="2" spans="1:26" x14ac:dyDescent="0.2">
      <c r="A2" t="s">
        <v>14</v>
      </c>
      <c r="B2" t="s">
        <v>26</v>
      </c>
      <c r="C2" t="s">
        <v>27</v>
      </c>
      <c r="D2" t="s">
        <v>28</v>
      </c>
      <c r="E2" t="s">
        <v>29</v>
      </c>
      <c r="F2" t="s">
        <v>71</v>
      </c>
      <c r="G2" t="s">
        <v>27</v>
      </c>
      <c r="H2" t="s">
        <v>82</v>
      </c>
      <c r="I2" s="7" t="s">
        <v>27</v>
      </c>
      <c r="J2" s="7" t="s">
        <v>99</v>
      </c>
      <c r="K2" t="s">
        <v>123</v>
      </c>
      <c r="L2" t="s">
        <v>147</v>
      </c>
      <c r="M2" t="s">
        <v>161</v>
      </c>
      <c r="N2" t="s">
        <v>162</v>
      </c>
      <c r="O2" t="s">
        <v>183</v>
      </c>
      <c r="P2" t="s">
        <v>211</v>
      </c>
      <c r="Q2" t="s">
        <v>223</v>
      </c>
      <c r="R2" t="s">
        <v>233</v>
      </c>
      <c r="S2" t="s">
        <v>247</v>
      </c>
      <c r="T2" t="s">
        <v>259</v>
      </c>
      <c r="U2" t="s">
        <v>260</v>
      </c>
      <c r="V2" t="s">
        <v>261</v>
      </c>
      <c r="W2" t="s">
        <v>162</v>
      </c>
      <c r="X2" t="s">
        <v>262</v>
      </c>
      <c r="Y2" t="s">
        <v>27</v>
      </c>
      <c r="Z2" t="s">
        <v>311</v>
      </c>
    </row>
    <row r="3" spans="1:26" x14ac:dyDescent="0.2">
      <c r="A3" t="s">
        <v>15</v>
      </c>
      <c r="B3" t="s">
        <v>30</v>
      </c>
      <c r="C3" t="s">
        <v>31</v>
      </c>
      <c r="D3" t="s">
        <v>32</v>
      </c>
      <c r="E3" t="s">
        <v>33</v>
      </c>
      <c r="F3" t="s">
        <v>72</v>
      </c>
      <c r="G3" t="s">
        <v>75</v>
      </c>
      <c r="H3" t="s">
        <v>83</v>
      </c>
      <c r="I3" s="7" t="s">
        <v>96</v>
      </c>
      <c r="J3" s="7" t="s">
        <v>100</v>
      </c>
      <c r="K3" t="s">
        <v>124</v>
      </c>
      <c r="L3" t="s">
        <v>148</v>
      </c>
      <c r="M3" t="s">
        <v>163</v>
      </c>
      <c r="N3" t="s">
        <v>164</v>
      </c>
      <c r="O3" t="s">
        <v>184</v>
      </c>
      <c r="P3" t="s">
        <v>212</v>
      </c>
      <c r="Q3" t="s">
        <v>224</v>
      </c>
      <c r="R3" t="s">
        <v>234</v>
      </c>
      <c r="S3" t="s">
        <v>248</v>
      </c>
      <c r="T3" t="s">
        <v>263</v>
      </c>
      <c r="U3" t="s">
        <v>264</v>
      </c>
      <c r="V3" t="s">
        <v>265</v>
      </c>
      <c r="W3" t="s">
        <v>266</v>
      </c>
      <c r="X3" t="s">
        <v>267</v>
      </c>
      <c r="Y3" t="s">
        <v>312</v>
      </c>
      <c r="Z3" t="s">
        <v>313</v>
      </c>
    </row>
    <row r="4" spans="1:26" x14ac:dyDescent="0.2">
      <c r="A4" t="s">
        <v>25</v>
      </c>
      <c r="B4" t="s">
        <v>24</v>
      </c>
      <c r="C4" t="s">
        <v>34</v>
      </c>
      <c r="D4" t="s">
        <v>35</v>
      </c>
      <c r="E4" t="s">
        <v>36</v>
      </c>
      <c r="F4" t="s">
        <v>62</v>
      </c>
      <c r="G4" t="s">
        <v>62</v>
      </c>
      <c r="H4" t="s">
        <v>35</v>
      </c>
      <c r="I4" s="7" t="s">
        <v>62</v>
      </c>
      <c r="J4" s="7" t="s">
        <v>107</v>
      </c>
      <c r="K4" t="s">
        <v>125</v>
      </c>
      <c r="L4" t="s">
        <v>149</v>
      </c>
      <c r="M4" t="s">
        <v>35</v>
      </c>
      <c r="N4" t="s">
        <v>35</v>
      </c>
      <c r="O4" t="s">
        <v>185</v>
      </c>
      <c r="P4" t="s">
        <v>213</v>
      </c>
      <c r="Q4" t="s">
        <v>24</v>
      </c>
      <c r="R4" t="s">
        <v>235</v>
      </c>
      <c r="S4" t="s">
        <v>107</v>
      </c>
      <c r="T4" t="s">
        <v>268</v>
      </c>
      <c r="U4" t="s">
        <v>269</v>
      </c>
      <c r="V4" t="s">
        <v>270</v>
      </c>
      <c r="W4" t="s">
        <v>268</v>
      </c>
      <c r="X4" t="s">
        <v>270</v>
      </c>
      <c r="Y4" t="s">
        <v>62</v>
      </c>
      <c r="Z4" t="s">
        <v>62</v>
      </c>
    </row>
    <row r="5" spans="1:26" x14ac:dyDescent="0.2">
      <c r="A5" t="s">
        <v>16</v>
      </c>
      <c r="B5" t="s">
        <v>0</v>
      </c>
      <c r="C5" t="s">
        <v>37</v>
      </c>
      <c r="D5" t="s">
        <v>38</v>
      </c>
      <c r="E5" t="s">
        <v>39</v>
      </c>
      <c r="F5" t="s">
        <v>63</v>
      </c>
      <c r="G5" t="s">
        <v>76</v>
      </c>
      <c r="H5" t="s">
        <v>84</v>
      </c>
      <c r="I5" s="7" t="s">
        <v>92</v>
      </c>
      <c r="J5" s="7" t="s">
        <v>108</v>
      </c>
      <c r="K5" t="s">
        <v>126</v>
      </c>
      <c r="L5" t="s">
        <v>150</v>
      </c>
      <c r="M5" t="s">
        <v>165</v>
      </c>
      <c r="N5" t="s">
        <v>166</v>
      </c>
      <c r="O5" t="s">
        <v>186</v>
      </c>
      <c r="P5" t="s">
        <v>214</v>
      </c>
      <c r="Q5" t="s">
        <v>0</v>
      </c>
      <c r="R5" t="s">
        <v>236</v>
      </c>
      <c r="S5" t="s">
        <v>108</v>
      </c>
      <c r="T5" t="s">
        <v>271</v>
      </c>
      <c r="U5" t="s">
        <v>272</v>
      </c>
      <c r="V5" t="s">
        <v>273</v>
      </c>
      <c r="W5" t="s">
        <v>271</v>
      </c>
      <c r="X5" t="s">
        <v>63</v>
      </c>
      <c r="Y5" t="s">
        <v>76</v>
      </c>
      <c r="Z5" t="s">
        <v>314</v>
      </c>
    </row>
    <row r="6" spans="1:26" x14ac:dyDescent="0.2">
      <c r="A6" t="s">
        <v>17</v>
      </c>
      <c r="B6" t="s">
        <v>2</v>
      </c>
      <c r="C6" t="s">
        <v>40</v>
      </c>
      <c r="D6" t="s">
        <v>41</v>
      </c>
      <c r="E6" t="s">
        <v>42</v>
      </c>
      <c r="F6" t="s">
        <v>64</v>
      </c>
      <c r="G6" t="s">
        <v>77</v>
      </c>
      <c r="H6" t="s">
        <v>85</v>
      </c>
      <c r="I6" s="7" t="s">
        <v>93</v>
      </c>
      <c r="J6" s="7" t="s">
        <v>109</v>
      </c>
      <c r="K6" t="s">
        <v>127</v>
      </c>
      <c r="L6" t="s">
        <v>151</v>
      </c>
      <c r="M6" t="s">
        <v>167</v>
      </c>
      <c r="N6" t="s">
        <v>168</v>
      </c>
      <c r="O6" t="s">
        <v>187</v>
      </c>
      <c r="P6" t="s">
        <v>151</v>
      </c>
      <c r="Q6" t="s">
        <v>2</v>
      </c>
      <c r="R6" t="s">
        <v>237</v>
      </c>
      <c r="S6" t="s">
        <v>249</v>
      </c>
      <c r="T6" t="s">
        <v>274</v>
      </c>
      <c r="U6" t="s">
        <v>275</v>
      </c>
      <c r="V6" t="s">
        <v>276</v>
      </c>
      <c r="W6" t="s">
        <v>274</v>
      </c>
      <c r="X6" t="s">
        <v>167</v>
      </c>
      <c r="Y6" t="s">
        <v>77</v>
      </c>
      <c r="Z6" t="s">
        <v>315</v>
      </c>
    </row>
    <row r="7" spans="1:26" x14ac:dyDescent="0.2">
      <c r="A7" t="s">
        <v>18</v>
      </c>
      <c r="B7" t="s">
        <v>43</v>
      </c>
      <c r="C7" t="s">
        <v>44</v>
      </c>
      <c r="D7" t="s">
        <v>45</v>
      </c>
      <c r="E7" t="s">
        <v>46</v>
      </c>
      <c r="F7" t="s">
        <v>65</v>
      </c>
      <c r="G7" t="s">
        <v>78</v>
      </c>
      <c r="H7" t="s">
        <v>86</v>
      </c>
      <c r="I7" s="7" t="s">
        <v>86</v>
      </c>
      <c r="J7" s="7" t="s">
        <v>101</v>
      </c>
      <c r="K7" t="s">
        <v>128</v>
      </c>
      <c r="L7" t="s">
        <v>152</v>
      </c>
      <c r="M7" t="s">
        <v>169</v>
      </c>
      <c r="N7" t="s">
        <v>170</v>
      </c>
      <c r="O7" t="s">
        <v>188</v>
      </c>
      <c r="P7" t="s">
        <v>215</v>
      </c>
      <c r="Q7" t="s">
        <v>225</v>
      </c>
      <c r="R7" t="s">
        <v>238</v>
      </c>
      <c r="S7" t="s">
        <v>101</v>
      </c>
      <c r="T7" t="s">
        <v>86</v>
      </c>
      <c r="U7" t="s">
        <v>277</v>
      </c>
      <c r="V7" t="s">
        <v>278</v>
      </c>
      <c r="W7" t="s">
        <v>279</v>
      </c>
      <c r="X7" t="s">
        <v>280</v>
      </c>
      <c r="Y7" t="s">
        <v>78</v>
      </c>
      <c r="Z7" t="s">
        <v>316</v>
      </c>
    </row>
    <row r="8" spans="1:26" x14ac:dyDescent="0.2">
      <c r="A8" t="s">
        <v>19</v>
      </c>
      <c r="B8" t="s">
        <v>47</v>
      </c>
      <c r="C8" t="s">
        <v>48</v>
      </c>
      <c r="D8" t="s">
        <v>49</v>
      </c>
      <c r="E8" t="s">
        <v>50</v>
      </c>
      <c r="F8" t="s">
        <v>66</v>
      </c>
      <c r="G8" t="s">
        <v>48</v>
      </c>
      <c r="H8" t="s">
        <v>87</v>
      </c>
      <c r="I8" s="7" t="s">
        <v>94</v>
      </c>
      <c r="J8" s="7" t="s">
        <v>110</v>
      </c>
      <c r="K8" t="s">
        <v>129</v>
      </c>
      <c r="L8" t="s">
        <v>153</v>
      </c>
      <c r="M8" t="s">
        <v>171</v>
      </c>
      <c r="N8" t="s">
        <v>172</v>
      </c>
      <c r="O8" t="s">
        <v>189</v>
      </c>
      <c r="P8" t="s">
        <v>153</v>
      </c>
      <c r="Q8" t="s">
        <v>47</v>
      </c>
      <c r="R8" t="s">
        <v>239</v>
      </c>
      <c r="S8" t="s">
        <v>110</v>
      </c>
      <c r="T8" t="s">
        <v>281</v>
      </c>
      <c r="U8" t="s">
        <v>282</v>
      </c>
      <c r="V8" t="s">
        <v>283</v>
      </c>
      <c r="W8" t="s">
        <v>284</v>
      </c>
      <c r="X8" t="s">
        <v>171</v>
      </c>
      <c r="Y8" t="s">
        <v>48</v>
      </c>
      <c r="Z8" t="s">
        <v>317</v>
      </c>
    </row>
    <row r="9" spans="1:26" x14ac:dyDescent="0.2">
      <c r="A9" t="s">
        <v>20</v>
      </c>
      <c r="B9" t="s">
        <v>51</v>
      </c>
      <c r="C9" t="s">
        <v>52</v>
      </c>
      <c r="D9" t="s">
        <v>53</v>
      </c>
      <c r="E9" t="s">
        <v>54</v>
      </c>
      <c r="F9" t="s">
        <v>67</v>
      </c>
      <c r="G9" t="s">
        <v>79</v>
      </c>
      <c r="H9" t="s">
        <v>88</v>
      </c>
      <c r="I9" s="7" t="s">
        <v>97</v>
      </c>
      <c r="J9" s="7" t="s">
        <v>102</v>
      </c>
      <c r="K9" t="s">
        <v>130</v>
      </c>
      <c r="L9" t="s">
        <v>154</v>
      </c>
      <c r="M9" t="s">
        <v>173</v>
      </c>
      <c r="N9" t="s">
        <v>174</v>
      </c>
      <c r="O9" t="s">
        <v>190</v>
      </c>
      <c r="P9" t="s">
        <v>216</v>
      </c>
      <c r="Q9" t="s">
        <v>226</v>
      </c>
      <c r="R9" t="s">
        <v>240</v>
      </c>
      <c r="S9" t="s">
        <v>250</v>
      </c>
      <c r="T9" t="s">
        <v>174</v>
      </c>
      <c r="U9" t="s">
        <v>285</v>
      </c>
      <c r="V9" t="s">
        <v>286</v>
      </c>
      <c r="W9" t="s">
        <v>287</v>
      </c>
      <c r="X9" t="s">
        <v>288</v>
      </c>
      <c r="Y9" t="s">
        <v>318</v>
      </c>
      <c r="Z9" t="s">
        <v>319</v>
      </c>
    </row>
    <row r="10" spans="1:26" x14ac:dyDescent="0.2">
      <c r="A10" t="s">
        <v>21</v>
      </c>
      <c r="B10" t="s">
        <v>55</v>
      </c>
      <c r="C10" t="s">
        <v>56</v>
      </c>
      <c r="D10" t="s">
        <v>57</v>
      </c>
      <c r="E10" t="s">
        <v>58</v>
      </c>
      <c r="F10" t="s">
        <v>68</v>
      </c>
      <c r="G10" t="s">
        <v>80</v>
      </c>
      <c r="H10" t="s">
        <v>89</v>
      </c>
      <c r="I10" s="7" t="s">
        <v>98</v>
      </c>
      <c r="J10" s="7" t="s">
        <v>103</v>
      </c>
      <c r="K10" t="s">
        <v>131</v>
      </c>
      <c r="L10" t="s">
        <v>155</v>
      </c>
      <c r="M10" t="s">
        <v>175</v>
      </c>
      <c r="N10" t="s">
        <v>176</v>
      </c>
      <c r="O10" t="s">
        <v>191</v>
      </c>
      <c r="P10" t="s">
        <v>217</v>
      </c>
      <c r="Q10" t="s">
        <v>55</v>
      </c>
      <c r="R10" t="s">
        <v>241</v>
      </c>
      <c r="S10" t="s">
        <v>251</v>
      </c>
      <c r="T10" t="s">
        <v>289</v>
      </c>
      <c r="U10" t="s">
        <v>290</v>
      </c>
      <c r="V10" t="s">
        <v>291</v>
      </c>
      <c r="W10" t="s">
        <v>292</v>
      </c>
      <c r="X10" t="s">
        <v>293</v>
      </c>
      <c r="Y10" t="s">
        <v>320</v>
      </c>
      <c r="Z10" t="s">
        <v>321</v>
      </c>
    </row>
    <row r="11" spans="1:26" x14ac:dyDescent="0.2">
      <c r="A11" s="7" t="s">
        <v>22</v>
      </c>
      <c r="B11" t="s">
        <v>135</v>
      </c>
      <c r="C11" t="s">
        <v>136</v>
      </c>
      <c r="D11" t="s">
        <v>59</v>
      </c>
      <c r="E11" t="s">
        <v>137</v>
      </c>
      <c r="F11" t="s">
        <v>69</v>
      </c>
      <c r="G11" s="7" t="s">
        <v>136</v>
      </c>
      <c r="H11" s="7" t="s">
        <v>90</v>
      </c>
      <c r="I11" s="7" t="s">
        <v>138</v>
      </c>
      <c r="J11" s="7" t="s">
        <v>104</v>
      </c>
      <c r="K11" s="7" t="s">
        <v>132</v>
      </c>
      <c r="L11" t="s">
        <v>156</v>
      </c>
      <c r="M11" t="s">
        <v>69</v>
      </c>
      <c r="N11" t="s">
        <v>177</v>
      </c>
      <c r="O11" t="s">
        <v>192</v>
      </c>
      <c r="P11" t="s">
        <v>218</v>
      </c>
      <c r="Q11" t="s">
        <v>227</v>
      </c>
      <c r="R11" t="s">
        <v>242</v>
      </c>
      <c r="S11" t="s">
        <v>252</v>
      </c>
      <c r="T11" t="s">
        <v>294</v>
      </c>
      <c r="U11" t="s">
        <v>295</v>
      </c>
      <c r="V11" t="s">
        <v>296</v>
      </c>
      <c r="W11" t="s">
        <v>294</v>
      </c>
      <c r="X11" t="s">
        <v>297</v>
      </c>
      <c r="Y11" t="s">
        <v>322</v>
      </c>
      <c r="Z11" t="s">
        <v>323</v>
      </c>
    </row>
    <row r="12" spans="1:26" x14ac:dyDescent="0.2">
      <c r="A12" s="7" t="s">
        <v>23</v>
      </c>
      <c r="B12" t="s">
        <v>139</v>
      </c>
      <c r="C12" t="s">
        <v>140</v>
      </c>
      <c r="D12" t="s">
        <v>141</v>
      </c>
      <c r="E12" t="s">
        <v>142</v>
      </c>
      <c r="F12" t="s">
        <v>70</v>
      </c>
      <c r="G12" s="7" t="s">
        <v>143</v>
      </c>
      <c r="H12" s="7" t="s">
        <v>144</v>
      </c>
      <c r="I12" s="7" t="s">
        <v>145</v>
      </c>
      <c r="J12" s="7" t="s">
        <v>105</v>
      </c>
      <c r="K12" s="7" t="s">
        <v>133</v>
      </c>
      <c r="L12" t="s">
        <v>157</v>
      </c>
      <c r="M12" t="s">
        <v>178</v>
      </c>
      <c r="N12" t="s">
        <v>179</v>
      </c>
      <c r="O12" t="s">
        <v>193</v>
      </c>
      <c r="P12" t="s">
        <v>219</v>
      </c>
      <c r="Q12" t="s">
        <v>228</v>
      </c>
      <c r="R12" t="s">
        <v>243</v>
      </c>
      <c r="S12" t="s">
        <v>105</v>
      </c>
      <c r="T12" t="s">
        <v>298</v>
      </c>
      <c r="U12" t="s">
        <v>299</v>
      </c>
      <c r="V12" t="s">
        <v>300</v>
      </c>
      <c r="W12" t="s">
        <v>298</v>
      </c>
      <c r="X12" t="s">
        <v>70</v>
      </c>
      <c r="Y12" t="s">
        <v>324</v>
      </c>
      <c r="Z12" t="s">
        <v>325</v>
      </c>
    </row>
    <row r="13" spans="1:26" x14ac:dyDescent="0.2">
      <c r="A13" t="s">
        <v>112</v>
      </c>
      <c r="B13" t="s">
        <v>113</v>
      </c>
      <c r="C13" t="s">
        <v>114</v>
      </c>
      <c r="D13" t="s">
        <v>115</v>
      </c>
      <c r="E13" t="s">
        <v>116</v>
      </c>
      <c r="F13" t="s">
        <v>117</v>
      </c>
      <c r="G13" t="s">
        <v>118</v>
      </c>
      <c r="H13" t="s">
        <v>119</v>
      </c>
      <c r="I13" s="7" t="s">
        <v>120</v>
      </c>
      <c r="J13" s="7" t="s">
        <v>121</v>
      </c>
      <c r="K13" t="s">
        <v>134</v>
      </c>
      <c r="L13" t="s">
        <v>158</v>
      </c>
      <c r="M13" t="s">
        <v>180</v>
      </c>
      <c r="N13" t="s">
        <v>181</v>
      </c>
      <c r="O13" t="s">
        <v>194</v>
      </c>
      <c r="P13" t="s">
        <v>220</v>
      </c>
      <c r="Q13" t="s">
        <v>113</v>
      </c>
      <c r="R13" t="s">
        <v>244</v>
      </c>
      <c r="S13" t="s">
        <v>253</v>
      </c>
      <c r="T13" t="s">
        <v>301</v>
      </c>
      <c r="U13" t="s">
        <v>302</v>
      </c>
      <c r="V13" t="s">
        <v>303</v>
      </c>
      <c r="W13" t="s">
        <v>304</v>
      </c>
      <c r="X13" t="s">
        <v>180</v>
      </c>
      <c r="Y13" t="s">
        <v>326</v>
      </c>
      <c r="Z13" t="s">
        <v>327</v>
      </c>
    </row>
    <row r="14" spans="1:26" x14ac:dyDescent="0.2">
      <c r="A14" t="s">
        <v>195</v>
      </c>
      <c r="B14" t="s">
        <v>196</v>
      </c>
      <c r="C14" t="s">
        <v>197</v>
      </c>
      <c r="D14" t="s">
        <v>198</v>
      </c>
      <c r="E14" t="s">
        <v>199</v>
      </c>
      <c r="F14" t="s">
        <v>200</v>
      </c>
      <c r="G14" t="s">
        <v>201</v>
      </c>
      <c r="H14" s="7" t="s">
        <v>202</v>
      </c>
      <c r="I14" s="7" t="s">
        <v>203</v>
      </c>
      <c r="J14" s="7" t="s">
        <v>204</v>
      </c>
      <c r="K14" t="s">
        <v>205</v>
      </c>
      <c r="L14" t="s">
        <v>206</v>
      </c>
      <c r="M14" t="s">
        <v>207</v>
      </c>
      <c r="N14" t="s">
        <v>208</v>
      </c>
      <c r="O14" t="s">
        <v>209</v>
      </c>
      <c r="P14" t="s">
        <v>221</v>
      </c>
      <c r="Q14" t="s">
        <v>229</v>
      </c>
      <c r="R14" t="s">
        <v>245</v>
      </c>
      <c r="S14" t="s">
        <v>204</v>
      </c>
      <c r="T14" t="s">
        <v>305</v>
      </c>
      <c r="U14" t="s">
        <v>306</v>
      </c>
      <c r="V14" t="s">
        <v>307</v>
      </c>
      <c r="W14" t="s">
        <v>308</v>
      </c>
      <c r="X14" t="s">
        <v>200</v>
      </c>
      <c r="Y14" t="s">
        <v>201</v>
      </c>
      <c r="Z14" t="s">
        <v>328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Report</vt:lpstr>
      <vt:lpstr>Summary</vt:lpstr>
      <vt:lpstr>Languages</vt:lpstr>
      <vt:lpstr>AllData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SYSTEM</cp:lastModifiedBy>
  <dcterms:created xsi:type="dcterms:W3CDTF">2009-12-18T16:48:08Z</dcterms:created>
  <dcterms:modified xsi:type="dcterms:W3CDTF">2026-03-10T14:34:25Z</dcterms:modified>
</cp:coreProperties>
</file>